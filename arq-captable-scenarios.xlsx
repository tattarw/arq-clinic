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 Table" sheetId="1" state="visible" r:id="rId3"/>
    <sheet name="Scenario Analysis" sheetId="2" state="visible" r:id="rId4"/>
    <sheet name="Cash Runwa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<sst xmlns="http://schemas.openxmlformats.org/spreadsheetml/2006/main" count="98" uniqueCount="70">
  <si>
    <t xml:space="preserve">arq.clinic — Cap Table &amp; Ownership Model</t>
  </si>
  <si>
    <t xml:space="preserve">Dear One Technologies Pvt Ltd  |  Blue = inputs you can change</t>
  </si>
  <si>
    <t xml:space="preserve">PRE-SEED ROUND</t>
  </si>
  <si>
    <t xml:space="preserve">Shareholder</t>
  </si>
  <si>
    <t xml:space="preserve">Shares</t>
  </si>
  <si>
    <t xml:space="preserve">% Ownership</t>
  </si>
  <si>
    <t xml:space="preserve">Investment (INR)</t>
  </si>
  <si>
    <t xml:space="preserve">Price/Share (INR)</t>
  </si>
  <si>
    <t xml:space="preserve">Notes</t>
  </si>
  <si>
    <t xml:space="preserve">Founder</t>
  </si>
  <si>
    <t xml:space="preserve">Authorized: 10,000 shares at INR 10 face value</t>
  </si>
  <si>
    <t xml:space="preserve">Angel Investor(s)</t>
  </si>
  <si>
    <t xml:space="preserve">Pre-seed round at negotiated valuation</t>
  </si>
  <si>
    <t xml:space="preserve">ESOP Pool (reserved)</t>
  </si>
  <si>
    <t xml:space="preserve">10% post-money reserved for team</t>
  </si>
  <si>
    <t xml:space="preserve">Total Post-Money</t>
  </si>
  <si>
    <t xml:space="preserve">VALUATION</t>
  </si>
  <si>
    <t xml:space="preserve">Pre-Money Valuation (INR)</t>
  </si>
  <si>
    <t xml:space="preserve">Assumption: INR 2Cr pre-money</t>
  </si>
  <si>
    <t xml:space="preserve">Investment Amount (INR)</t>
  </si>
  <si>
    <t xml:space="preserve">Post-Money Valuation (INR)</t>
  </si>
  <si>
    <t xml:space="preserve">Investor Ownership %</t>
  </si>
  <si>
    <t xml:space="preserve">Founder Ownership % (post-ESOP)</t>
  </si>
  <si>
    <t xml:space="preserve">SEED ROUND (PROJECTED — MONTH 12-15)</t>
  </si>
  <si>
    <t xml:space="preserve">Target Raise (INR)</t>
  </si>
  <si>
    <t xml:space="preserve">Assumption: 2Cr ARR × 5x multiple</t>
  </si>
  <si>
    <t xml:space="preserve">New Investor Ownership %</t>
  </si>
  <si>
    <t xml:space="preserve">Founder Ownership % (post-Seed)</t>
  </si>
  <si>
    <t xml:space="preserve">Pre-Seed Investor (diluted)</t>
  </si>
  <si>
    <t xml:space="preserve">arq.clinic — Scenario Analysis (24-Month)</t>
  </si>
  <si>
    <t xml:space="preserve">Blue = changeable inputs  |  All figures INR</t>
  </si>
  <si>
    <t xml:space="preserve">ASSUMPTIONS</t>
  </si>
  <si>
    <t xml:space="preserve">Parameter</t>
  </si>
  <si>
    <t xml:space="preserve">Bear Case</t>
  </si>
  <si>
    <t xml:space="preserve">Base Case</t>
  </si>
  <si>
    <t xml:space="preserve">Bull Case</t>
  </si>
  <si>
    <t xml:space="preserve">New subs/month (avg)</t>
  </si>
  <si>
    <t xml:space="preserve">Monthly churn rate</t>
  </si>
  <si>
    <t xml:space="preserve">ARPU (INR/month)</t>
  </si>
  <si>
    <t xml:space="preserve">Blended gross margin</t>
  </si>
  <si>
    <t xml:space="preserve">Monthly marketing spend (INR)</t>
  </si>
  <si>
    <t xml:space="preserve">Monthly fixed OpEx (INR)</t>
  </si>
  <si>
    <t xml:space="preserve">CAC (INR)</t>
  </si>
  <si>
    <t xml:space="preserve">BEAR CASE — 24-MONTH PROJECTION</t>
  </si>
  <si>
    <t xml:space="preserve">Metric</t>
  </si>
  <si>
    <t xml:space="preserve">M6</t>
  </si>
  <si>
    <t xml:space="preserve">M12</t>
  </si>
  <si>
    <t xml:space="preserve">M18</t>
  </si>
  <si>
    <t xml:space="preserve">M24</t>
  </si>
  <si>
    <t xml:space="preserve">Active Subscribers</t>
  </si>
  <si>
    <t xml:space="preserve">Monthly Revenue (INR)</t>
  </si>
  <si>
    <t xml:space="preserve">Gross Profit (INR)</t>
  </si>
  <si>
    <t xml:space="preserve">Total OpEx (INR)</t>
  </si>
  <si>
    <t xml:space="preserve">EBITDA (INR)</t>
  </si>
  <si>
    <t xml:space="preserve">EBITDA Margin</t>
  </si>
  <si>
    <t xml:space="preserve">ARR Run Rate (INR)</t>
  </si>
  <si>
    <t xml:space="preserve">Cumulative Cash Burn (INR)</t>
  </si>
  <si>
    <t xml:space="preserve">BASE CASE — 24-MONTH PROJECTION</t>
  </si>
  <si>
    <t xml:space="preserve">BULL CASE — 24-MONTH PROJECTION</t>
  </si>
  <si>
    <t xml:space="preserve">arq.clinic — Cash Runway Model</t>
  </si>
  <si>
    <t xml:space="preserve">Blue = inputs  |  How long does INR 50L last?</t>
  </si>
  <si>
    <t xml:space="preserve">Starting Cash (INR)</t>
  </si>
  <si>
    <t xml:space="preserve">Monthly Burn Rate — Month 1-6 (INR)</t>
  </si>
  <si>
    <t xml:space="preserve">Monthly Revenue Growth</t>
  </si>
  <si>
    <t xml:space="preserve">Starting Monthly Revenue (INR)</t>
  </si>
  <si>
    <t xml:space="preserve">Month</t>
  </si>
  <si>
    <t xml:space="preserve">Revenue</t>
  </si>
  <si>
    <t xml:space="preserve">OpEx</t>
  </si>
  <si>
    <t xml:space="preserve">Net Burn</t>
  </si>
  <si>
    <t xml:space="preserve">Cash Balance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</si>
</sst>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C8973A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2"/>
      <color rgb="FF1A1A1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8973A"/>
        <bgColor rgb="FF969696"/>
      </patternFill>
    </fill>
    <fill>
      <patternFill patternType="solid">
        <fgColor rgb="FFF5F3E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3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8973A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973A"/>
    <pageSetUpPr fitToPage="false"/>
  </sheetPr>
  <dimension ref="A1:F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5" min="2" style="1" width="18"/>
    <col collapsed="false" customWidth="true" hidden="false" outlineLevel="0" max="6" min="6" style="1" width="45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</row>
    <row r="6" customFormat="false" ht="15" hidden="false" customHeight="true" outlineLevel="0" collapsed="false">
      <c r="A6" s="6" t="s">
        <v>9</v>
      </c>
      <c r="B6" s="6" t="n">
        <v>8000</v>
      </c>
      <c r="C6" s="7" t="n">
        <f aca="false">B6 / (B6 + B7 + B8)</f>
        <v>0.699973750984338</v>
      </c>
      <c r="D6" s="8" t="n">
        <v>0</v>
      </c>
      <c r="E6" s="6" t="n">
        <v>10</v>
      </c>
      <c r="F6" s="6" t="s">
        <v>10</v>
      </c>
    </row>
    <row r="7" customFormat="false" ht="15" hidden="false" customHeight="true" outlineLevel="0" collapsed="false">
      <c r="A7" s="9" t="s">
        <v>11</v>
      </c>
      <c r="B7" s="9" t="n">
        <f aca="false">ROUND(B6 / (1 - D7/(B12+D7) - C8) * (D7/(B12+D7)), 0)</f>
        <v>2286</v>
      </c>
      <c r="C7" s="10" t="n">
        <f aca="false">B7 / (B6 + B7 + B8)</f>
        <v>0.200017499343775</v>
      </c>
      <c r="D7" s="11" t="n">
        <v>5000000</v>
      </c>
      <c r="E7" s="9" t="n">
        <f aca="false">(B12+D7) / (B6+B7+B8)</f>
        <v>2187.41797182606</v>
      </c>
      <c r="F7" s="9" t="s">
        <v>12</v>
      </c>
    </row>
    <row r="8" customFormat="false" ht="15" hidden="false" customHeight="true" outlineLevel="0" collapsed="false">
      <c r="A8" s="6" t="s">
        <v>13</v>
      </c>
      <c r="B8" s="6" t="n">
        <f aca="false">ROUND((B6 + B7) / (1 - C8) * C8, 0)</f>
        <v>1143</v>
      </c>
      <c r="C8" s="7" t="n">
        <v>0.1</v>
      </c>
      <c r="D8" s="8" t="n">
        <v>0</v>
      </c>
      <c r="E8" s="6" t="n">
        <f aca="false">E7</f>
        <v>2187.41797182606</v>
      </c>
      <c r="F8" s="6" t="s">
        <v>14</v>
      </c>
    </row>
    <row r="9" customFormat="false" ht="15" hidden="false" customHeight="true" outlineLevel="0" collapsed="false">
      <c r="A9" s="9" t="s">
        <v>15</v>
      </c>
      <c r="B9" s="9" t="n">
        <f aca="false">B6+B7+B8</f>
        <v>11429</v>
      </c>
      <c r="C9" s="10" t="n">
        <f aca="false">C6+C7+C8</f>
        <v>0.999991250328113</v>
      </c>
      <c r="D9" s="11" t="n">
        <f aca="false">D6+D7+D8</f>
        <v>5000000</v>
      </c>
      <c r="E9" s="9" t="n">
        <f aca="false">E7</f>
        <v>2187.41797182606</v>
      </c>
      <c r="F9" s="9"/>
    </row>
    <row r="10" customFormat="false" ht="15" hidden="false" customHeight="true" outlineLevel="0" collapsed="false">
      <c r="D10" s="12"/>
    </row>
    <row r="11" customFormat="false" ht="15" hidden="false" customHeight="true" outlineLevel="0" collapsed="false">
      <c r="A11" s="4" t="s">
        <v>16</v>
      </c>
    </row>
    <row r="12" customFormat="false" ht="15" hidden="false" customHeight="true" outlineLevel="0" collapsed="false">
      <c r="A12" s="1" t="s">
        <v>17</v>
      </c>
      <c r="B12" s="13" t="n">
        <v>20000000</v>
      </c>
      <c r="C12" s="1" t="s">
        <v>18</v>
      </c>
    </row>
    <row r="13" customFormat="false" ht="15" hidden="false" customHeight="true" outlineLevel="0" collapsed="false">
      <c r="A13" s="1" t="s">
        <v>19</v>
      </c>
      <c r="B13" s="12" t="n">
        <f aca="false">D7</f>
        <v>5000000</v>
      </c>
    </row>
    <row r="14" customFormat="false" ht="15" hidden="false" customHeight="true" outlineLevel="0" collapsed="false">
      <c r="A14" s="1" t="s">
        <v>20</v>
      </c>
      <c r="B14" s="12" t="n">
        <f aca="false">B12+B13</f>
        <v>25000000</v>
      </c>
    </row>
    <row r="15" customFormat="false" ht="15" hidden="false" customHeight="true" outlineLevel="0" collapsed="false">
      <c r="A15" s="1" t="s">
        <v>21</v>
      </c>
      <c r="B15" s="14" t="n">
        <f aca="false">B13/B14</f>
        <v>0.2</v>
      </c>
    </row>
    <row r="16" customFormat="false" ht="15" hidden="false" customHeight="true" outlineLevel="0" collapsed="false">
      <c r="A16" s="1" t="s">
        <v>22</v>
      </c>
      <c r="B16" s="14" t="n">
        <f aca="false">1-B15-C8</f>
        <v>0.7</v>
      </c>
    </row>
    <row r="18" customFormat="false" ht="15" hidden="false" customHeight="true" outlineLevel="0" collapsed="false">
      <c r="A18" s="4" t="s">
        <v>23</v>
      </c>
    </row>
    <row r="19" customFormat="false" ht="15" hidden="false" customHeight="true" outlineLevel="0" collapsed="false">
      <c r="A19" s="1" t="s">
        <v>24</v>
      </c>
      <c r="B19" s="13" t="n">
        <v>25000000</v>
      </c>
    </row>
    <row r="20" customFormat="false" ht="15" hidden="false" customHeight="true" outlineLevel="0" collapsed="false">
      <c r="A20" s="1" t="s">
        <v>17</v>
      </c>
      <c r="B20" s="13" t="n">
        <v>100000000</v>
      </c>
      <c r="C20" s="1" t="s">
        <v>25</v>
      </c>
    </row>
    <row r="21" customFormat="false" ht="15" hidden="false" customHeight="true" outlineLevel="0" collapsed="false">
      <c r="A21" s="1" t="s">
        <v>20</v>
      </c>
      <c r="B21" s="12" t="n">
        <f aca="false">B20+B19</f>
        <v>125000000</v>
      </c>
    </row>
    <row r="22" customFormat="false" ht="15" hidden="false" customHeight="true" outlineLevel="0" collapsed="false">
      <c r="A22" s="1" t="s">
        <v>26</v>
      </c>
      <c r="B22" s="14" t="n">
        <f aca="false">B19/B21</f>
        <v>0.2</v>
      </c>
    </row>
    <row r="23" customFormat="false" ht="15" hidden="false" customHeight="true" outlineLevel="0" collapsed="false">
      <c r="A23" s="1" t="s">
        <v>27</v>
      </c>
      <c r="B23" s="14" t="n">
        <f aca="false">B16*(1-B22)</f>
        <v>0.56</v>
      </c>
    </row>
    <row r="24" customFormat="false" ht="15" hidden="false" customHeight="true" outlineLevel="0" collapsed="false">
      <c r="A24" s="1" t="s">
        <v>28</v>
      </c>
      <c r="B24" s="14" t="n">
        <f aca="false">B15*(1-B22)</f>
        <v>0.16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973A"/>
    <pageSetUpPr fitToPage="false"/>
  </sheetPr>
  <dimension ref="A1:E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5" min="2" style="1" width="20"/>
  </cols>
  <sheetData>
    <row r="1" customFormat="false" ht="17.25" hidden="false" customHeight="true" outlineLevel="0" collapsed="false">
      <c r="A1" s="2" t="s">
        <v>29</v>
      </c>
    </row>
    <row r="2" customFormat="false" ht="15" hidden="false" customHeight="true" outlineLevel="0" collapsed="false">
      <c r="A2" s="3" t="s">
        <v>30</v>
      </c>
    </row>
    <row r="4" customFormat="false" ht="15" hidden="false" customHeight="true" outlineLevel="0" collapsed="false">
      <c r="A4" s="4" t="s">
        <v>31</v>
      </c>
    </row>
    <row r="5" customFormat="false" ht="15" hidden="false" customHeight="true" outlineLevel="0" collapsed="false">
      <c r="A5" s="5" t="s">
        <v>32</v>
      </c>
      <c r="B5" s="5" t="s">
        <v>33</v>
      </c>
      <c r="C5" s="5" t="s">
        <v>34</v>
      </c>
      <c r="D5" s="5" t="s">
        <v>35</v>
      </c>
    </row>
    <row r="6" customFormat="false" ht="15" hidden="false" customHeight="true" outlineLevel="0" collapsed="false">
      <c r="A6" s="6" t="s">
        <v>36</v>
      </c>
      <c r="B6" s="6" t="n">
        <v>8</v>
      </c>
      <c r="C6" s="6" t="n">
        <v>15</v>
      </c>
      <c r="D6" s="6" t="n">
        <v>25</v>
      </c>
    </row>
    <row r="7" customFormat="false" ht="15" hidden="false" customHeight="true" outlineLevel="0" collapsed="false">
      <c r="A7" s="9" t="s">
        <v>37</v>
      </c>
      <c r="B7" s="10" t="n">
        <v>0.15</v>
      </c>
      <c r="C7" s="10" t="n">
        <v>0.12</v>
      </c>
      <c r="D7" s="10" t="n">
        <v>0.08</v>
      </c>
    </row>
    <row r="8" customFormat="false" ht="15" hidden="false" customHeight="true" outlineLevel="0" collapsed="false">
      <c r="A8" s="6" t="s">
        <v>38</v>
      </c>
      <c r="B8" s="8" t="n">
        <v>1200</v>
      </c>
      <c r="C8" s="8" t="n">
        <v>1650</v>
      </c>
      <c r="D8" s="8" t="n">
        <v>2100</v>
      </c>
    </row>
    <row r="9" customFormat="false" ht="15" hidden="false" customHeight="true" outlineLevel="0" collapsed="false">
      <c r="A9" s="9" t="s">
        <v>39</v>
      </c>
      <c r="B9" s="10" t="n">
        <v>0.6</v>
      </c>
      <c r="C9" s="10" t="n">
        <v>0.72</v>
      </c>
      <c r="D9" s="10" t="n">
        <v>0.78</v>
      </c>
    </row>
    <row r="10" customFormat="false" ht="15" hidden="false" customHeight="true" outlineLevel="0" collapsed="false">
      <c r="A10" s="6" t="s">
        <v>40</v>
      </c>
      <c r="B10" s="8" t="n">
        <v>150000</v>
      </c>
      <c r="C10" s="8" t="n">
        <v>350000</v>
      </c>
      <c r="D10" s="8" t="n">
        <v>600000</v>
      </c>
    </row>
    <row r="11" customFormat="false" ht="15" hidden="false" customHeight="true" outlineLevel="0" collapsed="false">
      <c r="A11" s="9" t="s">
        <v>41</v>
      </c>
      <c r="B11" s="11" t="n">
        <v>400000</v>
      </c>
      <c r="C11" s="11" t="n">
        <v>500000</v>
      </c>
      <c r="D11" s="11" t="n">
        <v>650000</v>
      </c>
    </row>
    <row r="12" customFormat="false" ht="15" hidden="false" customHeight="true" outlineLevel="0" collapsed="false">
      <c r="A12" s="6" t="s">
        <v>42</v>
      </c>
      <c r="B12" s="8" t="n">
        <v>6000</v>
      </c>
      <c r="C12" s="8" t="n">
        <v>4500</v>
      </c>
      <c r="D12" s="8" t="n">
        <v>3000</v>
      </c>
    </row>
    <row r="15" customFormat="false" ht="15" hidden="false" customHeight="true" outlineLevel="0" collapsed="false">
      <c r="A15" s="4" t="s">
        <v>43</v>
      </c>
    </row>
    <row r="16" customFormat="false" ht="15" hidden="false" customHeight="true" outlineLevel="0" collapsed="false">
      <c r="A16" s="5" t="s">
        <v>44</v>
      </c>
      <c r="B16" s="5" t="s">
        <v>45</v>
      </c>
      <c r="C16" s="5" t="s">
        <v>46</v>
      </c>
      <c r="D16" s="5" t="s">
        <v>47</v>
      </c>
      <c r="E16" s="5" t="s">
        <v>48</v>
      </c>
    </row>
    <row r="17" customFormat="false" ht="15" hidden="false" customHeight="true" outlineLevel="0" collapsed="false">
      <c r="A17" s="9" t="s">
        <v>49</v>
      </c>
      <c r="B17" s="9" t="n">
        <f aca="false">ROUND(B6*6*(1-B7)^3,0)</f>
        <v>29</v>
      </c>
      <c r="C17" s="9" t="n">
        <f aca="false">ROUND(B6*12*(1-B7)^6,0)</f>
        <v>36</v>
      </c>
      <c r="D17" s="9" t="n">
        <f aca="false">ROUND(B6*18*(1-B7)^9,0)</f>
        <v>33</v>
      </c>
      <c r="E17" s="9" t="n">
        <f aca="false">ROUND(B6*24*(1-B7)^12,0)</f>
        <v>27</v>
      </c>
    </row>
    <row r="18" customFormat="false" ht="15" hidden="false" customHeight="true" outlineLevel="0" collapsed="false">
      <c r="A18" s="6" t="s">
        <v>50</v>
      </c>
      <c r="B18" s="8" t="n">
        <f aca="false">B17*B8</f>
        <v>34800</v>
      </c>
      <c r="C18" s="8" t="n">
        <f aca="false">C17*B8</f>
        <v>43200</v>
      </c>
      <c r="D18" s="8" t="n">
        <f aca="false">D17*B8</f>
        <v>39600</v>
      </c>
      <c r="E18" s="8" t="n">
        <f aca="false">E17*B8</f>
        <v>32400</v>
      </c>
    </row>
    <row r="19" customFormat="false" ht="15" hidden="false" customHeight="true" outlineLevel="0" collapsed="false">
      <c r="A19" s="9" t="s">
        <v>51</v>
      </c>
      <c r="B19" s="11" t="n">
        <f aca="false">B18*B9</f>
        <v>20880</v>
      </c>
      <c r="C19" s="11" t="n">
        <f aca="false">C18*B9</f>
        <v>25920</v>
      </c>
      <c r="D19" s="11" t="n">
        <f aca="false">D18*B9</f>
        <v>23760</v>
      </c>
      <c r="E19" s="11" t="n">
        <f aca="false">E18*B9</f>
        <v>19440</v>
      </c>
    </row>
    <row r="20" customFormat="false" ht="15" hidden="false" customHeight="true" outlineLevel="0" collapsed="false">
      <c r="A20" s="6" t="s">
        <v>52</v>
      </c>
      <c r="B20" s="8" t="n">
        <f aca="false">B10+B11</f>
        <v>550000</v>
      </c>
      <c r="C20" s="8" t="n">
        <f aca="false">B10*1.2+B11*1.1</f>
        <v>620000</v>
      </c>
      <c r="D20" s="8" t="n">
        <f aca="false">B10*1.5+B11*1.2</f>
        <v>705000</v>
      </c>
      <c r="E20" s="8" t="n">
        <f aca="false">B10*1.8+B11*1.3</f>
        <v>790000</v>
      </c>
    </row>
    <row r="21" customFormat="false" ht="15" hidden="false" customHeight="true" outlineLevel="0" collapsed="false">
      <c r="A21" s="9" t="s">
        <v>53</v>
      </c>
      <c r="B21" s="11" t="n">
        <f aca="false">B19-B20</f>
        <v>-529120</v>
      </c>
      <c r="C21" s="11" t="n">
        <f aca="false">C19-C20</f>
        <v>-594080</v>
      </c>
      <c r="D21" s="11" t="n">
        <f aca="false">D19-D20</f>
        <v>-681240</v>
      </c>
      <c r="E21" s="11" t="n">
        <f aca="false">E19-E20</f>
        <v>-770560</v>
      </c>
    </row>
    <row r="22" customFormat="false" ht="15" hidden="false" customHeight="true" outlineLevel="0" collapsed="false">
      <c r="A22" s="6" t="s">
        <v>54</v>
      </c>
      <c r="B22" s="7" t="n">
        <f aca="false">IF(B18=0,0,B21/B18)</f>
        <v>-15.2045977011494</v>
      </c>
      <c r="C22" s="7" t="n">
        <f aca="false">IF(C18=0,0,C21/C18)</f>
        <v>-13.7518518518519</v>
      </c>
      <c r="D22" s="7" t="n">
        <f aca="false">IF(D18=0,0,D21/D18)</f>
        <v>-17.2030303030303</v>
      </c>
      <c r="E22" s="7" t="n">
        <f aca="false">IF(E18=0,0,E21/E18)</f>
        <v>-23.7827160493827</v>
      </c>
    </row>
    <row r="23" customFormat="false" ht="15" hidden="false" customHeight="true" outlineLevel="0" collapsed="false">
      <c r="A23" s="9" t="s">
        <v>55</v>
      </c>
      <c r="B23" s="11" t="n">
        <f aca="false">B18*12</f>
        <v>417600</v>
      </c>
      <c r="C23" s="11" t="n">
        <f aca="false">C18*12</f>
        <v>518400</v>
      </c>
      <c r="D23" s="11" t="n">
        <f aca="false">D18*12</f>
        <v>475200</v>
      </c>
      <c r="E23" s="11" t="n">
        <f aca="false">E18*12</f>
        <v>388800</v>
      </c>
    </row>
    <row r="24" customFormat="false" ht="15" hidden="false" customHeight="true" outlineLevel="0" collapsed="false">
      <c r="A24" s="6" t="s">
        <v>56</v>
      </c>
      <c r="B24" s="8" t="n">
        <f aca="false">B21*6</f>
        <v>-3174720</v>
      </c>
      <c r="C24" s="8" t="n">
        <f aca="false">B24+C21*6</f>
        <v>-6739200</v>
      </c>
      <c r="D24" s="8" t="n">
        <f aca="false">C24+D21*6</f>
        <v>-10826640</v>
      </c>
      <c r="E24" s="8" t="n">
        <f aca="false">D24+E21*6</f>
        <v>-15450000</v>
      </c>
    </row>
    <row r="28" customFormat="false" ht="15" hidden="false" customHeight="true" outlineLevel="0" collapsed="false">
      <c r="A28" s="4" t="s">
        <v>57</v>
      </c>
    </row>
    <row r="29" customFormat="false" ht="15" hidden="false" customHeight="true" outlineLevel="0" collapsed="false">
      <c r="A29" s="5" t="s">
        <v>44</v>
      </c>
      <c r="B29" s="5" t="s">
        <v>45</v>
      </c>
      <c r="C29" s="5" t="s">
        <v>46</v>
      </c>
      <c r="D29" s="5" t="s">
        <v>47</v>
      </c>
      <c r="E29" s="5" t="s">
        <v>48</v>
      </c>
    </row>
    <row r="30" customFormat="false" ht="15" hidden="false" customHeight="true" outlineLevel="0" collapsed="false">
      <c r="A30" s="6" t="s">
        <v>49</v>
      </c>
      <c r="B30" s="6" t="n">
        <f aca="false">ROUND(C6*6*(1-C7)^3,0)</f>
        <v>61</v>
      </c>
      <c r="C30" s="6" t="n">
        <f aca="false">ROUND(C6*12*(1-C7)^6,0)</f>
        <v>84</v>
      </c>
      <c r="D30" s="6" t="n">
        <f aca="false">ROUND(C6*18*(1-C7)^9,0)</f>
        <v>85</v>
      </c>
      <c r="E30" s="6" t="n">
        <f aca="false">ROUND(C6*24*(1-C7)^12,0)</f>
        <v>78</v>
      </c>
    </row>
    <row r="31" customFormat="false" ht="15" hidden="false" customHeight="true" outlineLevel="0" collapsed="false">
      <c r="A31" s="9" t="s">
        <v>50</v>
      </c>
      <c r="B31" s="11" t="n">
        <f aca="false">B30*C8</f>
        <v>100650</v>
      </c>
      <c r="C31" s="11" t="n">
        <f aca="false">C30*C8</f>
        <v>138600</v>
      </c>
      <c r="D31" s="11" t="n">
        <f aca="false">D30*C8</f>
        <v>140250</v>
      </c>
      <c r="E31" s="11" t="n">
        <f aca="false">E30*C8</f>
        <v>128700</v>
      </c>
    </row>
    <row r="32" customFormat="false" ht="15" hidden="false" customHeight="true" outlineLevel="0" collapsed="false">
      <c r="A32" s="6" t="s">
        <v>51</v>
      </c>
      <c r="B32" s="8" t="n">
        <f aca="false">B31*C9</f>
        <v>72468</v>
      </c>
      <c r="C32" s="8" t="n">
        <f aca="false">C31*C9</f>
        <v>99792</v>
      </c>
      <c r="D32" s="8" t="n">
        <f aca="false">D31*C9</f>
        <v>100980</v>
      </c>
      <c r="E32" s="8" t="n">
        <f aca="false">E31*C9</f>
        <v>92664</v>
      </c>
    </row>
    <row r="33" customFormat="false" ht="15" hidden="false" customHeight="true" outlineLevel="0" collapsed="false">
      <c r="A33" s="9" t="s">
        <v>52</v>
      </c>
      <c r="B33" s="11" t="n">
        <f aca="false">C10+C11</f>
        <v>850000</v>
      </c>
      <c r="C33" s="11" t="n">
        <f aca="false">C10*1.2+C11*1.1</f>
        <v>970000</v>
      </c>
      <c r="D33" s="11" t="n">
        <f aca="false">C10*1.5+C11*1.2</f>
        <v>1125000</v>
      </c>
      <c r="E33" s="11" t="n">
        <f aca="false">C10*1.8+C11*1.3</f>
        <v>1280000</v>
      </c>
    </row>
    <row r="34" customFormat="false" ht="15" hidden="false" customHeight="true" outlineLevel="0" collapsed="false">
      <c r="A34" s="6" t="s">
        <v>53</v>
      </c>
      <c r="B34" s="8" t="n">
        <f aca="false">B32-B33</f>
        <v>-777532</v>
      </c>
      <c r="C34" s="8" t="n">
        <f aca="false">C32-C33</f>
        <v>-870208</v>
      </c>
      <c r="D34" s="8" t="n">
        <f aca="false">D32-D33</f>
        <v>-1024020</v>
      </c>
      <c r="E34" s="8" t="n">
        <f aca="false">E32-E33</f>
        <v>-1187336</v>
      </c>
    </row>
    <row r="35" customFormat="false" ht="15" hidden="false" customHeight="true" outlineLevel="0" collapsed="false">
      <c r="A35" s="9" t="s">
        <v>54</v>
      </c>
      <c r="B35" s="10" t="n">
        <f aca="false">IF(B31=0,0,B34/B31)</f>
        <v>-7.72510680576254</v>
      </c>
      <c r="C35" s="10" t="n">
        <f aca="false">IF(C31=0,0,C34/C31)</f>
        <v>-6.278556998557</v>
      </c>
      <c r="D35" s="10" t="n">
        <f aca="false">IF(D31=0,0,D34/D31)</f>
        <v>-7.30139037433155</v>
      </c>
      <c r="E35" s="10" t="n">
        <f aca="false">IF(E31=0,0,E34/E31)</f>
        <v>-9.22560994560995</v>
      </c>
    </row>
    <row r="36" customFormat="false" ht="15" hidden="false" customHeight="true" outlineLevel="0" collapsed="false">
      <c r="A36" s="6" t="s">
        <v>55</v>
      </c>
      <c r="B36" s="8" t="n">
        <f aca="false">B31*12</f>
        <v>1207800</v>
      </c>
      <c r="C36" s="8" t="n">
        <f aca="false">C31*12</f>
        <v>1663200</v>
      </c>
      <c r="D36" s="8" t="n">
        <f aca="false">D31*12</f>
        <v>1683000</v>
      </c>
      <c r="E36" s="8" t="n">
        <f aca="false">E31*12</f>
        <v>1544400</v>
      </c>
    </row>
    <row r="37" customFormat="false" ht="15" hidden="false" customHeight="true" outlineLevel="0" collapsed="false">
      <c r="A37" s="9" t="s">
        <v>56</v>
      </c>
      <c r="B37" s="11" t="n">
        <f aca="false">B34*6</f>
        <v>-4665192</v>
      </c>
      <c r="C37" s="11" t="n">
        <f aca="false">B37+C34*6</f>
        <v>-9886440</v>
      </c>
      <c r="D37" s="11" t="n">
        <f aca="false">C37+D34*6</f>
        <v>-16030560</v>
      </c>
      <c r="E37" s="11" t="n">
        <f aca="false">D37+E34*6</f>
        <v>-23154576</v>
      </c>
    </row>
    <row r="41" customFormat="false" ht="15" hidden="false" customHeight="true" outlineLevel="0" collapsed="false">
      <c r="A41" s="4" t="s">
        <v>58</v>
      </c>
    </row>
    <row r="42" customFormat="false" ht="15" hidden="false" customHeight="true" outlineLevel="0" collapsed="false">
      <c r="A42" s="5" t="s">
        <v>44</v>
      </c>
      <c r="B42" s="5" t="s">
        <v>45</v>
      </c>
      <c r="C42" s="5" t="s">
        <v>46</v>
      </c>
      <c r="D42" s="5" t="s">
        <v>47</v>
      </c>
      <c r="E42" s="5" t="s">
        <v>48</v>
      </c>
    </row>
    <row r="43" customFormat="false" ht="15" hidden="false" customHeight="true" outlineLevel="0" collapsed="false">
      <c r="A43" s="9" t="s">
        <v>49</v>
      </c>
      <c r="B43" s="9" t="n">
        <f aca="false">ROUND(D6*6*(1-D7)^3,0)</f>
        <v>117</v>
      </c>
      <c r="C43" s="9" t="n">
        <f aca="false">ROUND(D6*12*(1-D7)^6,0)</f>
        <v>182</v>
      </c>
      <c r="D43" s="9" t="n">
        <f aca="false">ROUND(D6*18*(1-D7)^9,0)</f>
        <v>212</v>
      </c>
      <c r="E43" s="9" t="n">
        <f aca="false">ROUND(D6*24*(1-D7)^12,0)</f>
        <v>221</v>
      </c>
    </row>
    <row r="44" customFormat="false" ht="15" hidden="false" customHeight="true" outlineLevel="0" collapsed="false">
      <c r="A44" s="6" t="s">
        <v>50</v>
      </c>
      <c r="B44" s="8" t="n">
        <f aca="false">B43*D8</f>
        <v>245700</v>
      </c>
      <c r="C44" s="8" t="n">
        <f aca="false">C43*D8</f>
        <v>382200</v>
      </c>
      <c r="D44" s="8" t="n">
        <f aca="false">D43*D8</f>
        <v>445200</v>
      </c>
      <c r="E44" s="8" t="n">
        <f aca="false">E43*D8</f>
        <v>464100</v>
      </c>
    </row>
    <row r="45" customFormat="false" ht="15" hidden="false" customHeight="true" outlineLevel="0" collapsed="false">
      <c r="A45" s="9" t="s">
        <v>51</v>
      </c>
      <c r="B45" s="11" t="n">
        <f aca="false">B44*D9</f>
        <v>191646</v>
      </c>
      <c r="C45" s="11" t="n">
        <f aca="false">C44*D9</f>
        <v>298116</v>
      </c>
      <c r="D45" s="11" t="n">
        <f aca="false">D44*D9</f>
        <v>347256</v>
      </c>
      <c r="E45" s="11" t="n">
        <f aca="false">E44*D9</f>
        <v>361998</v>
      </c>
    </row>
    <row r="46" customFormat="false" ht="15" hidden="false" customHeight="true" outlineLevel="0" collapsed="false">
      <c r="A46" s="6" t="s">
        <v>52</v>
      </c>
      <c r="B46" s="8" t="n">
        <f aca="false">D10+D11</f>
        <v>1250000</v>
      </c>
      <c r="C46" s="8" t="n">
        <f aca="false">D10*1.2+D11*1.1</f>
        <v>1435000</v>
      </c>
      <c r="D46" s="8" t="n">
        <f aca="false">D10*1.5+D11*1.2</f>
        <v>1680000</v>
      </c>
      <c r="E46" s="8" t="n">
        <f aca="false">D10*1.8+D11*1.3</f>
        <v>1925000</v>
      </c>
    </row>
    <row r="47" customFormat="false" ht="15" hidden="false" customHeight="true" outlineLevel="0" collapsed="false">
      <c r="A47" s="9" t="s">
        <v>53</v>
      </c>
      <c r="B47" s="11" t="n">
        <f aca="false">B45-B46</f>
        <v>-1058354</v>
      </c>
      <c r="C47" s="11" t="n">
        <f aca="false">C45-C46</f>
        <v>-1136884</v>
      </c>
      <c r="D47" s="11" t="n">
        <f aca="false">D45-D46</f>
        <v>-1332744</v>
      </c>
      <c r="E47" s="11" t="n">
        <f aca="false">E45-E46</f>
        <v>-1563002</v>
      </c>
    </row>
    <row r="48" customFormat="false" ht="15" hidden="false" customHeight="true" outlineLevel="0" collapsed="false">
      <c r="A48" s="6" t="s">
        <v>54</v>
      </c>
      <c r="B48" s="7" t="n">
        <f aca="false">IF(B44=0,0,B47/B44)</f>
        <v>-4.30750508750509</v>
      </c>
      <c r="C48" s="7" t="n">
        <f aca="false">IF(C44=0,0,C47/C44)</f>
        <v>-2.97457875457875</v>
      </c>
      <c r="D48" s="7" t="n">
        <f aca="false">IF(D44=0,0,D47/D44)</f>
        <v>-2.99358490566038</v>
      </c>
      <c r="E48" s="7" t="n">
        <f aca="false">IF(E44=0,0,E47/E44)</f>
        <v>-3.36781297134238</v>
      </c>
    </row>
    <row r="49" customFormat="false" ht="15" hidden="false" customHeight="true" outlineLevel="0" collapsed="false">
      <c r="A49" s="9" t="s">
        <v>55</v>
      </c>
      <c r="B49" s="11" t="n">
        <f aca="false">B44*12</f>
        <v>2948400</v>
      </c>
      <c r="C49" s="11" t="n">
        <f aca="false">C44*12</f>
        <v>4586400</v>
      </c>
      <c r="D49" s="11" t="n">
        <f aca="false">D44*12</f>
        <v>5342400</v>
      </c>
      <c r="E49" s="11" t="n">
        <f aca="false">E44*12</f>
        <v>5569200</v>
      </c>
    </row>
    <row r="50" customFormat="false" ht="15" hidden="false" customHeight="true" outlineLevel="0" collapsed="false">
      <c r="A50" s="6" t="s">
        <v>56</v>
      </c>
      <c r="B50" s="8" t="n">
        <f aca="false">B47*6</f>
        <v>-6350124</v>
      </c>
      <c r="C50" s="8" t="n">
        <f aca="false">B50+C47*6</f>
        <v>-13171428</v>
      </c>
      <c r="D50" s="8" t="n">
        <f aca="false">C50+D47*6</f>
        <v>-21167892</v>
      </c>
      <c r="E50" s="8" t="n">
        <f aca="false">D50+E47*6</f>
        <v>-30545904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973A"/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5" min="2" style="1" width="22"/>
  </cols>
  <sheetData>
    <row r="1" customFormat="false" ht="17.25" hidden="false" customHeight="true" outlineLevel="0" collapsed="false">
      <c r="A1" s="2" t="s">
        <v>59</v>
      </c>
    </row>
    <row r="2" customFormat="false" ht="15" hidden="false" customHeight="true" outlineLevel="0" collapsed="false">
      <c r="A2" s="3" t="s">
        <v>60</v>
      </c>
    </row>
    <row r="4" customFormat="false" ht="15" hidden="false" customHeight="true" outlineLevel="0" collapsed="false">
      <c r="A4" s="1" t="s">
        <v>61</v>
      </c>
      <c r="B4" s="13" t="n">
        <v>5000000</v>
      </c>
    </row>
    <row r="5" customFormat="false" ht="15" hidden="false" customHeight="true" outlineLevel="0" collapsed="false">
      <c r="A5" s="1" t="s">
        <v>62</v>
      </c>
      <c r="B5" s="13" t="n">
        <v>535000</v>
      </c>
    </row>
    <row r="6" customFormat="false" ht="15" hidden="false" customHeight="true" outlineLevel="0" collapsed="false">
      <c r="A6" s="1" t="s">
        <v>63</v>
      </c>
      <c r="B6" s="15" t="n">
        <f aca="false">1.15</f>
        <v>1.15</v>
      </c>
    </row>
    <row r="7" customFormat="false" ht="15" hidden="false" customHeight="true" outlineLevel="0" collapsed="false">
      <c r="A7" s="1" t="s">
        <v>64</v>
      </c>
      <c r="B7" s="13" t="n">
        <v>49500</v>
      </c>
    </row>
    <row r="9" customFormat="false" ht="15" hidden="false" customHeight="true" outlineLevel="0" collapsed="false">
      <c r="A9" s="5" t="s">
        <v>65</v>
      </c>
      <c r="B9" s="5" t="s">
        <v>66</v>
      </c>
      <c r="C9" s="5" t="s">
        <v>67</v>
      </c>
      <c r="D9" s="5" t="s">
        <v>68</v>
      </c>
      <c r="E9" s="5" t="s">
        <v>69</v>
      </c>
    </row>
    <row r="10" customFormat="false" ht="15" hidden="false" customHeight="true" outlineLevel="0" collapsed="false">
      <c r="A10" s="6" t="n">
        <v>1</v>
      </c>
      <c r="B10" s="8" t="n">
        <f aca="false">B7</f>
        <v>49500</v>
      </c>
      <c r="C10" s="8" t="n">
        <f aca="false">B5</f>
        <v>535000</v>
      </c>
      <c r="D10" s="8" t="n">
        <f aca="false">B10-C10</f>
        <v>-485500</v>
      </c>
      <c r="E10" s="8" t="n">
        <f aca="false">B4+D10</f>
        <v>4514500</v>
      </c>
    </row>
    <row r="11" customFormat="false" ht="15" hidden="false" customHeight="true" outlineLevel="0" collapsed="false">
      <c r="A11" s="9" t="n">
        <v>2</v>
      </c>
      <c r="B11" s="11" t="n">
        <f aca="false">B10*B6</f>
        <v>56925</v>
      </c>
      <c r="C11" s="11" t="n">
        <f aca="false">B5</f>
        <v>535000</v>
      </c>
      <c r="D11" s="11" t="n">
        <f aca="false">B11-C11</f>
        <v>-478075</v>
      </c>
      <c r="E11" s="11" t="n">
        <f aca="false">E10+D11</f>
        <v>4036425</v>
      </c>
    </row>
    <row r="12" customFormat="false" ht="15" hidden="false" customHeight="true" outlineLevel="0" collapsed="false">
      <c r="A12" s="6" t="n">
        <v>3</v>
      </c>
      <c r="B12" s="8" t="n">
        <f aca="false">B11*B6</f>
        <v>65463.75</v>
      </c>
      <c r="C12" s="8" t="n">
        <f aca="false">B5</f>
        <v>535000</v>
      </c>
      <c r="D12" s="8" t="n">
        <f aca="false">B12-C12</f>
        <v>-469536.25</v>
      </c>
      <c r="E12" s="8" t="n">
        <f aca="false">E11+D12</f>
        <v>3566888.75</v>
      </c>
    </row>
    <row r="13" customFormat="false" ht="15" hidden="false" customHeight="true" outlineLevel="0" collapsed="false">
      <c r="A13" s="9" t="n">
        <v>4</v>
      </c>
      <c r="B13" s="11" t="n">
        <f aca="false">B12*B6</f>
        <v>75283.3125</v>
      </c>
      <c r="C13" s="11" t="n">
        <f aca="false">B5</f>
        <v>535000</v>
      </c>
      <c r="D13" s="11" t="n">
        <f aca="false">B13-C13</f>
        <v>-459716.6875</v>
      </c>
      <c r="E13" s="11" t="n">
        <f aca="false">E12+D13</f>
        <v>3107172.0625</v>
      </c>
    </row>
    <row r="14" customFormat="false" ht="15" hidden="false" customHeight="true" outlineLevel="0" collapsed="false">
      <c r="A14" s="6" t="n">
        <v>5</v>
      </c>
      <c r="B14" s="8" t="n">
        <f aca="false">B13*B6</f>
        <v>86575.809375</v>
      </c>
      <c r="C14" s="8" t="n">
        <f aca="false">B5</f>
        <v>535000</v>
      </c>
      <c r="D14" s="8" t="n">
        <f aca="false">B14-C14</f>
        <v>-448424.190625</v>
      </c>
      <c r="E14" s="8" t="n">
        <f aca="false">E13+D14</f>
        <v>2658747.871875</v>
      </c>
    </row>
    <row r="15" customFormat="false" ht="15" hidden="false" customHeight="true" outlineLevel="0" collapsed="false">
      <c r="A15" s="9" t="n">
        <v>6</v>
      </c>
      <c r="B15" s="11" t="n">
        <f aca="false">B14*B6</f>
        <v>99562.1807812499</v>
      </c>
      <c r="C15" s="11" t="n">
        <f aca="false">B5</f>
        <v>535000</v>
      </c>
      <c r="D15" s="11" t="n">
        <f aca="false">B15-C15</f>
        <v>-435437.81921875</v>
      </c>
      <c r="E15" s="11" t="n">
        <f aca="false">E14+D15</f>
        <v>2223310.05265625</v>
      </c>
    </row>
    <row r="16" customFormat="false" ht="15" hidden="false" customHeight="true" outlineLevel="0" collapsed="false">
      <c r="A16" s="6" t="n">
        <v>7</v>
      </c>
      <c r="B16" s="8" t="n">
        <f aca="false">B15*B6</f>
        <v>114496.507898437</v>
      </c>
      <c r="C16" s="8" t="n">
        <f aca="false">B5*(1+0.08*(7-6)/6)</f>
        <v>542133.333333333</v>
      </c>
      <c r="D16" s="8" t="n">
        <f aca="false">B16-C16</f>
        <v>-427636.825434896</v>
      </c>
      <c r="E16" s="8" t="n">
        <f aca="false">E15+D16</f>
        <v>1795673.22722135</v>
      </c>
    </row>
    <row r="17" customFormat="false" ht="15" hidden="false" customHeight="true" outlineLevel="0" collapsed="false">
      <c r="A17" s="9" t="n">
        <v>8</v>
      </c>
      <c r="B17" s="11" t="n">
        <f aca="false">B16*B6</f>
        <v>131670.984083203</v>
      </c>
      <c r="C17" s="11" t="n">
        <f aca="false">B5*(1+0.08*(8-6)/6)</f>
        <v>549266.666666667</v>
      </c>
      <c r="D17" s="11" t="n">
        <f aca="false">B17-C17</f>
        <v>-417595.682583464</v>
      </c>
      <c r="E17" s="11" t="n">
        <f aca="false">E16+D17</f>
        <v>1378077.54463789</v>
      </c>
    </row>
    <row r="18" customFormat="false" ht="15" hidden="false" customHeight="true" outlineLevel="0" collapsed="false">
      <c r="A18" s="6" t="n">
        <v>9</v>
      </c>
      <c r="B18" s="8" t="n">
        <f aca="false">B17*B6</f>
        <v>151421.631695683</v>
      </c>
      <c r="C18" s="8" t="n">
        <f aca="false">B5*(1+0.08*(9-6)/6)</f>
        <v>556400</v>
      </c>
      <c r="D18" s="8" t="n">
        <f aca="false">B18-C18</f>
        <v>-404978.368304317</v>
      </c>
      <c r="E18" s="8" t="n">
        <f aca="false">E17+D18</f>
        <v>973099.176333574</v>
      </c>
    </row>
    <row r="19" customFormat="false" ht="15" hidden="false" customHeight="true" outlineLevel="0" collapsed="false">
      <c r="A19" s="9" t="n">
        <v>10</v>
      </c>
      <c r="B19" s="11" t="n">
        <f aca="false">B18*B6</f>
        <v>174134.876450036</v>
      </c>
      <c r="C19" s="11" t="n">
        <f aca="false">B5*(1+0.08*(10-6)/6)</f>
        <v>563533.333333333</v>
      </c>
      <c r="D19" s="11" t="n">
        <f aca="false">B19-C19</f>
        <v>-389398.456883297</v>
      </c>
      <c r="E19" s="11" t="n">
        <f aca="false">E18+D19</f>
        <v>583700.719450277</v>
      </c>
    </row>
    <row r="20" customFormat="false" ht="15" hidden="false" customHeight="true" outlineLevel="0" collapsed="false">
      <c r="A20" s="6" t="n">
        <v>11</v>
      </c>
      <c r="B20" s="8" t="n">
        <f aca="false">B19*B6</f>
        <v>200255.107917541</v>
      </c>
      <c r="C20" s="8" t="n">
        <f aca="false">B5*(1+0.08*(11-6)/6)</f>
        <v>570666.666666667</v>
      </c>
      <c r="D20" s="8" t="n">
        <f aca="false">B20-C20</f>
        <v>-370411.558749125</v>
      </c>
      <c r="E20" s="8" t="n">
        <f aca="false">E19+D20</f>
        <v>213289.160701151</v>
      </c>
    </row>
    <row r="21" customFormat="false" ht="15" hidden="false" customHeight="true" outlineLevel="0" collapsed="false">
      <c r="A21" s="9" t="n">
        <v>12</v>
      </c>
      <c r="B21" s="11" t="n">
        <f aca="false">B20*B6</f>
        <v>230293.374105173</v>
      </c>
      <c r="C21" s="11" t="n">
        <f aca="false">B5*(1+0.08*(12-6)/6)</f>
        <v>577800</v>
      </c>
      <c r="D21" s="11" t="n">
        <f aca="false">B21-C21</f>
        <v>-347506.625894827</v>
      </c>
      <c r="E21" s="11" t="n">
        <f aca="false">E20+D21</f>
        <v>-134217.465193676</v>
      </c>
    </row>
    <row r="22" customFormat="false" ht="15" hidden="false" customHeight="true" outlineLevel="0" collapsed="false">
      <c r="A22" s="6" t="n">
        <v>13</v>
      </c>
      <c r="B22" s="8" t="n">
        <f aca="false">B21*B6</f>
        <v>264837.380220948</v>
      </c>
      <c r="C22" s="8" t="n">
        <f aca="false">B5*(1+0.08*(13-6)/6)</f>
        <v>584933.333333333</v>
      </c>
      <c r="D22" s="8" t="n">
        <f aca="false">B22-C22</f>
        <v>-320095.953112385</v>
      </c>
      <c r="E22" s="8" t="n">
        <f aca="false">E21+D22</f>
        <v>-454313.418306061</v>
      </c>
    </row>
    <row r="23" customFormat="false" ht="15" hidden="false" customHeight="true" outlineLevel="0" collapsed="false">
      <c r="A23" s="9" t="n">
        <v>14</v>
      </c>
      <c r="B23" s="11" t="n">
        <f aca="false">B22*B6</f>
        <v>304562.987254091</v>
      </c>
      <c r="C23" s="11" t="n">
        <f aca="false">B5*(1+0.08*(14-6)/6)</f>
        <v>592066.666666667</v>
      </c>
      <c r="D23" s="11" t="n">
        <f aca="false">B23-C23</f>
        <v>-287503.679412576</v>
      </c>
      <c r="E23" s="11" t="n">
        <f aca="false">E22+D23</f>
        <v>-741817.097718637</v>
      </c>
    </row>
    <row r="24" customFormat="false" ht="15" hidden="false" customHeight="true" outlineLevel="0" collapsed="false">
      <c r="A24" s="6" t="n">
        <v>15</v>
      </c>
      <c r="B24" s="8" t="n">
        <f aca="false">B23*B6</f>
        <v>350247.435342204</v>
      </c>
      <c r="C24" s="8" t="n">
        <f aca="false">B5*(1+0.08*(15-6)/6)</f>
        <v>599200</v>
      </c>
      <c r="D24" s="8" t="n">
        <f aca="false">B24-C24</f>
        <v>-248952.564657796</v>
      </c>
      <c r="E24" s="8" t="n">
        <f aca="false">E23+D24</f>
        <v>-990769.662376432</v>
      </c>
    </row>
    <row r="25" customFormat="false" ht="15" hidden="false" customHeight="true" outlineLevel="0" collapsed="false">
      <c r="A25" s="9" t="n">
        <v>16</v>
      </c>
      <c r="B25" s="11" t="n">
        <f aca="false">B24*B6</f>
        <v>402784.550643535</v>
      </c>
      <c r="C25" s="11" t="n">
        <f aca="false">B5*(1+0.08*(16-6)/6)</f>
        <v>606333.333333333</v>
      </c>
      <c r="D25" s="11" t="n">
        <f aca="false">B25-C25</f>
        <v>-203548.782689799</v>
      </c>
      <c r="E25" s="11" t="n">
        <f aca="false">E24+D25</f>
        <v>-1194318.44506623</v>
      </c>
    </row>
    <row r="26" customFormat="false" ht="15" hidden="false" customHeight="true" outlineLevel="0" collapsed="false">
      <c r="A26" s="6" t="n">
        <v>17</v>
      </c>
      <c r="B26" s="8" t="n">
        <f aca="false">B25*B6</f>
        <v>463202.233240065</v>
      </c>
      <c r="C26" s="8" t="n">
        <f aca="false">B5*(1+0.08*(17-6)/6)</f>
        <v>613466.666666667</v>
      </c>
      <c r="D26" s="8" t="n">
        <f aca="false">B26-C26</f>
        <v>-150264.433426602</v>
      </c>
      <c r="E26" s="8" t="n">
        <f aca="false">E25+D26</f>
        <v>-1344582.87849283</v>
      </c>
    </row>
    <row r="27" customFormat="false" ht="15" hidden="false" customHeight="true" outlineLevel="0" collapsed="false">
      <c r="A27" s="9" t="n">
        <v>18</v>
      </c>
      <c r="B27" s="11" t="n">
        <f aca="false">B26*B6</f>
        <v>532682.568226075</v>
      </c>
      <c r="C27" s="11" t="n">
        <f aca="false">B5*(1+0.08*(18-6)/6)</f>
        <v>620600</v>
      </c>
      <c r="D27" s="11" t="n">
        <f aca="false">B27-C27</f>
        <v>-87917.4317739252</v>
      </c>
      <c r="E27" s="11" t="n">
        <f aca="false">E26+D27</f>
        <v>-1432500.31026676</v>
      </c>
    </row>
    <row r="28" customFormat="false" ht="15" hidden="false" customHeight="true" outlineLevel="0" collapsed="false">
      <c r="A28" s="6" t="n">
        <v>19</v>
      </c>
      <c r="B28" s="8" t="n">
        <f aca="false">B27*B6</f>
        <v>612584.953459986</v>
      </c>
      <c r="C28" s="8" t="n">
        <f aca="false">B5*(1+0.08*(19-6)/6)</f>
        <v>627733.333333333</v>
      </c>
      <c r="D28" s="8" t="n">
        <f aca="false">B28-C28</f>
        <v>-15148.3798733474</v>
      </c>
      <c r="E28" s="8" t="n">
        <f aca="false">E27+D28</f>
        <v>-1447648.69014011</v>
      </c>
    </row>
    <row r="29" customFormat="false" ht="15" hidden="false" customHeight="true" outlineLevel="0" collapsed="false">
      <c r="A29" s="9" t="n">
        <v>20</v>
      </c>
      <c r="B29" s="11" t="n">
        <f aca="false">B28*B6</f>
        <v>704472.696478984</v>
      </c>
      <c r="C29" s="11" t="n">
        <f aca="false">B5*(1+0.08*(20-6)/6)</f>
        <v>634866.666666667</v>
      </c>
      <c r="D29" s="11" t="n">
        <f aca="false">B29-C29</f>
        <v>69606.0298123171</v>
      </c>
      <c r="E29" s="11" t="n">
        <f aca="false">E28+D29</f>
        <v>-1378042.66032779</v>
      </c>
    </row>
    <row r="30" customFormat="false" ht="15" hidden="false" customHeight="true" outlineLevel="0" collapsed="false">
      <c r="A30" s="6" t="n">
        <v>21</v>
      </c>
      <c r="B30" s="8" t="n">
        <f aca="false">B29*B6</f>
        <v>810143.600950831</v>
      </c>
      <c r="C30" s="8" t="n">
        <f aca="false">B5*(1+0.08*(21-6)/6)</f>
        <v>642000</v>
      </c>
      <c r="D30" s="8" t="n">
        <f aca="false">B30-C30</f>
        <v>168143.600950831</v>
      </c>
      <c r="E30" s="8" t="n">
        <f aca="false">E29+D30</f>
        <v>-1209899.05937696</v>
      </c>
    </row>
    <row r="31" customFormat="false" ht="15" hidden="false" customHeight="true" outlineLevel="0" collapsed="false">
      <c r="A31" s="9" t="n">
        <v>22</v>
      </c>
      <c r="B31" s="11" t="n">
        <f aca="false">B30*B6</f>
        <v>931665.141093456</v>
      </c>
      <c r="C31" s="11" t="n">
        <f aca="false">B5*(1+0.08*(22-6)/6)</f>
        <v>649133.333333333</v>
      </c>
      <c r="D31" s="11" t="n">
        <f aca="false">B31-C31</f>
        <v>282531.807760123</v>
      </c>
      <c r="E31" s="11" t="n">
        <f aca="false">E30+D31</f>
        <v>-927367.251616834</v>
      </c>
    </row>
    <row r="32" customFormat="false" ht="15" hidden="false" customHeight="true" outlineLevel="0" collapsed="false">
      <c r="A32" s="6" t="n">
        <v>23</v>
      </c>
      <c r="B32" s="8" t="n">
        <f aca="false">B31*B6</f>
        <v>1071414.91225747</v>
      </c>
      <c r="C32" s="8" t="n">
        <f aca="false">B5*(1+0.08*(23-6)/6)</f>
        <v>656266.666666667</v>
      </c>
      <c r="D32" s="8" t="n">
        <f aca="false">B32-C32</f>
        <v>415148.245590808</v>
      </c>
      <c r="E32" s="8" t="n">
        <f aca="false">E31+D32</f>
        <v>-512219.006026027</v>
      </c>
    </row>
    <row r="33" customFormat="false" ht="15" hidden="false" customHeight="true" outlineLevel="0" collapsed="false">
      <c r="A33" s="9" t="n">
        <v>24</v>
      </c>
      <c r="B33" s="11" t="n">
        <f aca="false">B32*B6</f>
        <v>1232127.1490961</v>
      </c>
      <c r="C33" s="11" t="n">
        <f aca="false">B5*(1+0.08*(24-6)/6)</f>
        <v>663400</v>
      </c>
      <c r="D33" s="11" t="n">
        <f aca="false">B33-C33</f>
        <v>568727.149096095</v>
      </c>
      <c r="E33" s="11" t="n">
        <f aca="false">E32+D33</f>
        <v>56508.1430700684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2026-04-03T19:06:27Z</dcterms:created>
  <dc:creator>openpyxl</dc:creator>
  <dc:description/>
  <dc:language>en-US</dc:language>
  <cp:lastModifiedBy/>
  <dcterms:modified xsi:type="dcterms:W3CDTF">2026-04-03T19:06:46Z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