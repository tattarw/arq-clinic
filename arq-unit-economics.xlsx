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Sensitivity" sheetId="4" state="visible" r:id="rId6"/>
    <sheet name="Year 1 P&amp;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<sst xmlns="http://schemas.openxmlformats.org/spreadsheetml/2006/main" count="152" uniqueCount="124">
  <si>
    <t xml:space="preserve">arq. — Unit Economics Model</t>
  </si>
  <si>
    <t xml:space="preserve">What this is</t>
  </si>
  <si>
    <t xml:space="preserve">A live unit-economics model for arq. — change any blue cell and every downstream number updates. Use it to stress-test price, physician utilization, CAC, churn, and cohort ramp.</t>
  </si>
  <si>
    <t xml:space="preserve">How to use</t>
  </si>
  <si>
    <t xml:space="preserve">1. Go to "Assumptions" — edit any blue cell (yellow cells are the highest-leverage inputs).
2. "Unit Economics" shows per-member monthly P&amp;L at three price tiers.
3. "Sensitivity" shows operating margin across a grid of price × physician-utilization.
4. "Year 1 P&amp;L" models a monthly cohort ramp at ₹15K/member — edit the "New members added" row to flex.</t>
  </si>
  <si>
    <t xml:space="preserve">Color key</t>
  </si>
  <si>
    <t xml:space="preserve">Blue = editable input · Black = formula · Green = cross-sheet link · Yellow = highest-leverage lever</t>
  </si>
  <si>
    <t xml:space="preserve">Headline takeaway</t>
  </si>
  <si>
    <t xml:space="preserve">At ₹15K/mo with 100 members/physician, gross margin lands ~69% and operating margin ~35% at steady state. Price below ₹10K and unit economics compress fast because physician cost is a hard floor. Above ₹20K and LTV/CAC exceeds 6x — very healthy.</t>
  </si>
  <si>
    <t xml:space="preserve">What is NOT in this model</t>
  </si>
  <si>
    <t xml:space="preserve">• Inventory (Rx, supplements) working capital cycle
• Setup costs (lab onboarding, app dev amortization)
• Tax provisions beyond GST on payment gateway
• Founder/exec equity compensation
• Cohort retention curves beyond flat monthly churn</t>
  </si>
  <si>
    <t xml:space="preserve">Key numbers at ₹15K/100-member steady state</t>
  </si>
  <si>
    <t xml:space="preserve">  Gross profit per member: ₹10,300/mo
  Operating profit per member: ₹5,200/mo
  LTV: ₹343K
  CAC: ₹12K
  LTV/CAC: 29x
  Payback: 1.2 months</t>
  </si>
  <si>
    <t xml:space="preserve">All inputs on this sheet. Change blue cells to flex the model.</t>
  </si>
  <si>
    <t xml:space="preserve">PRICING — MONTHLY PRICE TIERS</t>
  </si>
  <si>
    <t xml:space="preserve">Price tier — Low</t>
  </si>
  <si>
    <t xml:space="preserve">INR/month</t>
  </si>
  <si>
    <t xml:space="preserve">Price tier — Mid</t>
  </si>
  <si>
    <t xml:space="preserve">Price tier — High</t>
  </si>
  <si>
    <t xml:space="preserve">DIRECT COGS — PER MEMBER PER MONTH</t>
  </si>
  <si>
    <t xml:space="preserve">Bloodwork (quarterly panel amortized)</t>
  </si>
  <si>
    <t xml:space="preserve">INR/mo</t>
  </si>
  <si>
    <t xml:space="preserve">Home phlebotomy (quarterly amortized)</t>
  </si>
  <si>
    <t xml:space="preserve">Kit + Rx logistics (quarterly amortized)</t>
  </si>
  <si>
    <t xml:space="preserve">Software + infra (per member)</t>
  </si>
  <si>
    <t xml:space="preserve">Support, GST overhead (per member)</t>
  </si>
  <si>
    <t xml:space="preserve">PHYSICIAN ECONOMICS</t>
  </si>
  <si>
    <t xml:space="preserve">Physician salary (loaded, per month)</t>
  </si>
  <si>
    <t xml:space="preserve">Members per physician (at scale)</t>
  </si>
  <si>
    <t xml:space="preserve">members</t>
  </si>
  <si>
    <t xml:space="preserve">CARE TEAM</t>
  </si>
  <si>
    <t xml:space="preserve">Care lead salary (per month)</t>
  </si>
  <si>
    <t xml:space="preserve">Members per care lead</t>
  </si>
  <si>
    <t xml:space="preserve">PAYMENT &amp; TRANSACTION</t>
  </si>
  <si>
    <t xml:space="preserve">Payment gateway rate</t>
  </si>
  <si>
    <t xml:space="preserve">% of revenue</t>
  </si>
  <si>
    <t xml:space="preserve">OPERATING OVERHEAD (% of revenue)</t>
  </si>
  <si>
    <t xml:space="preserve">Marketing (blended)</t>
  </si>
  <si>
    <t xml:space="preserve">G&amp;A (office, legal, exec)</t>
  </si>
  <si>
    <t xml:space="preserve">CUSTOMER ECONOMICS</t>
  </si>
  <si>
    <t xml:space="preserve">Blended CAC (acquisition cost)</t>
  </si>
  <si>
    <t xml:space="preserve">INR per member</t>
  </si>
  <si>
    <t xml:space="preserve">Monthly churn rate</t>
  </si>
  <si>
    <t xml:space="preserve">% / month</t>
  </si>
  <si>
    <t xml:space="preserve">Add-on revenue (blended LTV lift)</t>
  </si>
  <si>
    <t xml:space="preserve">INR/mo per member</t>
  </si>
  <si>
    <t xml:space="preserve">Add-on gross margin</t>
  </si>
  <si>
    <t xml:space="preserve">%</t>
  </si>
  <si>
    <t xml:space="preserve">Prescription margin uplift</t>
  </si>
  <si>
    <t xml:space="preserve">Per-Member Monthly P&amp;L — Three Price Tiers</t>
  </si>
  <si>
    <t xml:space="preserve">All figures INR / member / month. Green = link from Assumptions. Black = formula.</t>
  </si>
  <si>
    <t xml:space="preserve">₹10K tier</t>
  </si>
  <si>
    <t xml:space="preserve">₹15K tier</t>
  </si>
  <si>
    <t xml:space="preserve">₹20K tier</t>
  </si>
  <si>
    <t xml:space="preserve">REVENUE</t>
  </si>
  <si>
    <t xml:space="preserve">Subscription price</t>
  </si>
  <si>
    <t xml:space="preserve">Add-on revenue (blended)</t>
  </si>
  <si>
    <t xml:space="preserve">Gross revenue</t>
  </si>
  <si>
    <t xml:space="preserve">Payment gateway fee</t>
  </si>
  <si>
    <t xml:space="preserve">Net revenue</t>
  </si>
  <si>
    <t xml:space="preserve">DIRECT COGS</t>
  </si>
  <si>
    <t xml:space="preserve">Bloodwork</t>
  </si>
  <si>
    <t xml:space="preserve">Home phlebotomy</t>
  </si>
  <si>
    <t xml:space="preserve">Kit + Rx logistics</t>
  </si>
  <si>
    <t xml:space="preserve">Physician (loaded, per member)</t>
  </si>
  <si>
    <t xml:space="preserve">Care lead</t>
  </si>
  <si>
    <t xml:space="preserve">Software + infra</t>
  </si>
  <si>
    <t xml:space="preserve">Support + overhead</t>
  </si>
  <si>
    <t xml:space="preserve">Add-on COGS</t>
  </si>
  <si>
    <t xml:space="preserve">Total COGS</t>
  </si>
  <si>
    <t xml:space="preserve">Rx margin uplift</t>
  </si>
  <si>
    <t xml:space="preserve">Gross profit</t>
  </si>
  <si>
    <t xml:space="preserve">Gross margin %</t>
  </si>
  <si>
    <t xml:space="preserve">OPERATING EXPENSES</t>
  </si>
  <si>
    <t xml:space="preserve">Marketing</t>
  </si>
  <si>
    <t xml:space="preserve">G&amp;A</t>
  </si>
  <si>
    <t xml:space="preserve">Total OpEx</t>
  </si>
  <si>
    <t xml:space="preserve">Operating profit</t>
  </si>
  <si>
    <t xml:space="preserve">Operating margin %</t>
  </si>
  <si>
    <t xml:space="preserve">KEY RATIOS</t>
  </si>
  <si>
    <t xml:space="preserve">LTV (1/churn × gross profit)</t>
  </si>
  <si>
    <t xml:space="preserve">CAC</t>
  </si>
  <si>
    <t xml:space="preserve">LTV / CAC multiple</t>
  </si>
  <si>
    <t xml:space="preserve">CAC payback (months)</t>
  </si>
  <si>
    <t xml:space="preserve">Avg member lifetime (months)</t>
  </si>
  <si>
    <t xml:space="preserve">Operating Margin % — Price × Physician Utilization</t>
  </si>
  <si>
    <t xml:space="preserve">Rows = members per physician. Cols = monthly price tier. Cells = operating margin %.</t>
  </si>
  <si>
    <t xml:space="preserve">Members / physician →
↓ Monthly price</t>
  </si>
  <si>
    <t xml:space="preserve">Reading this table:</t>
  </si>
  <si>
    <t xml:space="preserve">• Green zone: &gt;35% operating margin — scalable</t>
  </si>
  <si>
    <t xml:space="preserve">• Red zone: &lt;10% operating margin — unit economics broken</t>
  </si>
  <si>
    <t xml:space="preserve">• Gold cell: current plan (₹15K/mo, 100 members/physician)</t>
  </si>
  <si>
    <t xml:space="preserve">Year 1 Monthly P&amp;L — @ ₹15K tier</t>
  </si>
  <si>
    <t xml:space="preserve">Member ramp with physician utilization growing as members grow. Change cohort adds (blue) to flex.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</si>
  <si>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</si>
  <si>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</si>
  <si>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</si>
  <si>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</si>
  <si>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</si>
  <si>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</si>
  <si>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</si>
  <si>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</si>
  <si>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</si>
  <si>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</si>
  <si>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</si>
  <si>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</si>
  <si>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</si>
  <si>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New members added</t>
  </si>
  <si>
    <t xml:space="preserve">Monthly churn %</t>
  </si>
  <si>
    <t xml:space="preserve">Active members (EoM)</t>
  </si>
  <si>
    <t xml:space="preserve">Avg active members</t>
  </si>
  <si>
    <t xml:space="preserve">Subscription revenue</t>
  </si>
  <si>
    <t xml:space="preserve">Add-on revenue</t>
  </si>
  <si>
    <t xml:space="preserve">Payment gateway</t>
  </si>
  <si>
    <t xml:space="preserve">COGS (VARIABLE)</t>
  </si>
  <si>
    <t xml:space="preserve">Phlebotomy</t>
  </si>
  <si>
    <t xml:space="preserve">Logistics</t>
  </si>
  <si>
    <t xml:space="preserve">Tech + infra</t>
  </si>
  <si>
    <t xml:space="preserve">COGS (STAFF CAPACITY)</t>
  </si>
  <si>
    <t xml:space="preserve">Physicians needed (FTE)</t>
  </si>
  <si>
    <t xml:space="preserve">Physician cost</t>
  </si>
  <si>
    <t xml:space="preserve">Care leads needed (FTE)</t>
  </si>
  <si>
    <t xml:space="preserve">Care lead cost</t>
  </si>
  <si>
    <t xml:space="preserve">OPEX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</si>
</sst>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;&quot;(₹&quot;#,##0\);\-"/>
    <numFmt numFmtId="166" formatCode="#,##0;\(#,##0\);\-"/>
    <numFmt numFmtId="167" formatCode="0.0%;\(0.0%\);\-"/>
    <numFmt numFmtId="168" formatCode="0.0\x"/>
    <numFmt numFmtId="169" formatCode="0.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B8922E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714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DF6E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22E"/>
      <rgbColor rgb="FF800080"/>
      <rgbColor rgb="FF008080"/>
      <rgbColor rgb="FFC0C0C0"/>
      <rgbColor rgb="FF808080"/>
      <rgbColor rgb="FF9999FF"/>
      <rgbColor rgb="FF993366"/>
      <rgbColor rgb="FFFDF6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7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8"/>
  </cols>
  <sheetData>
    <row r="1" customFormat="false" ht="36" hidden="false" customHeight="true" outlineLevel="0" collapsed="false">
      <c r="A1" s="1" t="s">
        <v>0</v>
      </c>
      <c r="B1" s="1"/>
    </row>
    <row r="3" customFormat="false" ht="27.75" hidden="false" customHeight="true" outlineLevel="0" collapsed="false">
      <c r="A3" s="2" t="s">
        <v>1</v>
      </c>
      <c r="B3" s="3" t="s">
        <v>2</v>
      </c>
    </row>
    <row r="5" customFormat="false" ht="69.75" hidden="false" customHeight="true" outlineLevel="0" collapsed="false">
      <c r="A5" s="2" t="s">
        <v>3</v>
      </c>
      <c r="B5" s="3" t="s">
        <v>4</v>
      </c>
    </row>
    <row r="7" customFormat="false" ht="27.75" hidden="false" customHeight="true" outlineLevel="0" collapsed="false">
      <c r="A7" s="2" t="s">
        <v>5</v>
      </c>
      <c r="B7" s="3" t="s">
        <v>6</v>
      </c>
    </row>
    <row r="9" customFormat="false" ht="27.75" hidden="false" customHeight="true" outlineLevel="0" collapsed="false">
      <c r="A9" s="2" t="s">
        <v>7</v>
      </c>
      <c r="B9" s="3" t="s">
        <v>8</v>
      </c>
    </row>
    <row r="11" customFormat="false" ht="84" hidden="false" customHeight="true" outlineLevel="0" collapsed="false">
      <c r="A11" s="2" t="s">
        <v>9</v>
      </c>
      <c r="B11" s="3" t="s">
        <v>10</v>
      </c>
    </row>
    <row r="13" customFormat="false" ht="97.5" hidden="false" customHeight="true" outlineLevel="0" collapsed="false">
      <c r="A13" s="2" t="s">
        <v>11</v>
      </c>
      <c r="B13" s="3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4" t="s">
        <v>0</v>
      </c>
      <c r="B1" s="4"/>
      <c r="C1" s="4"/>
      <c r="D1" s="4"/>
    </row>
    <row r="2" customFormat="false" ht="15" hidden="false" customHeight="false" outlineLevel="0" collapsed="false">
      <c r="A2" s="5" t="s">
        <v>13</v>
      </c>
      <c r="B2" s="5"/>
      <c r="C2" s="5"/>
      <c r="D2" s="5"/>
    </row>
    <row r="4" customFormat="false" ht="15" hidden="false" customHeight="false" outlineLevel="0" collapsed="false">
      <c r="A4" s="6" t="s">
        <v>14</v>
      </c>
      <c r="B4" s="6"/>
      <c r="C4" s="6"/>
      <c r="D4" s="6"/>
    </row>
    <row r="5" customFormat="false" ht="15" hidden="false" customHeight="false" outlineLevel="0" collapsed="false">
      <c r="A5" s="7" t="s">
        <v>15</v>
      </c>
      <c r="B5" s="8" t="n">
        <v>10000</v>
      </c>
      <c r="C5" s="9" t="s">
        <v>16</v>
      </c>
    </row>
    <row r="6" customFormat="false" ht="15" hidden="false" customHeight="false" outlineLevel="0" collapsed="false">
      <c r="A6" s="7" t="s">
        <v>17</v>
      </c>
      <c r="B6" s="8" t="n">
        <v>15000</v>
      </c>
      <c r="C6" s="9" t="s">
        <v>16</v>
      </c>
    </row>
    <row r="7" customFormat="false" ht="15" hidden="false" customHeight="false" outlineLevel="0" collapsed="false">
      <c r="A7" s="7" t="s">
        <v>18</v>
      </c>
      <c r="B7" s="8" t="n">
        <v>20000</v>
      </c>
      <c r="C7" s="9" t="s">
        <v>16</v>
      </c>
    </row>
    <row r="9" customFormat="false" ht="15" hidden="false" customHeight="false" outlineLevel="0" collapsed="false">
      <c r="A9" s="6" t="s">
        <v>19</v>
      </c>
      <c r="B9" s="6"/>
      <c r="C9" s="6"/>
      <c r="D9" s="6"/>
    </row>
    <row r="10" customFormat="false" ht="15" hidden="false" customHeight="false" outlineLevel="0" collapsed="false">
      <c r="A10" s="7" t="s">
        <v>20</v>
      </c>
      <c r="B10" s="10" t="n">
        <v>1800</v>
      </c>
      <c r="C10" s="9" t="s">
        <v>21</v>
      </c>
    </row>
    <row r="11" customFormat="false" ht="15" hidden="false" customHeight="false" outlineLevel="0" collapsed="false">
      <c r="A11" s="7" t="s">
        <v>22</v>
      </c>
      <c r="B11" s="10" t="n">
        <v>120</v>
      </c>
      <c r="C11" s="9" t="s">
        <v>21</v>
      </c>
    </row>
    <row r="12" customFormat="false" ht="15" hidden="false" customHeight="false" outlineLevel="0" collapsed="false">
      <c r="A12" s="7" t="s">
        <v>23</v>
      </c>
      <c r="B12" s="10" t="n">
        <v>70</v>
      </c>
      <c r="C12" s="9" t="s">
        <v>21</v>
      </c>
    </row>
    <row r="13" customFormat="false" ht="15" hidden="false" customHeight="false" outlineLevel="0" collapsed="false">
      <c r="A13" s="7" t="s">
        <v>24</v>
      </c>
      <c r="B13" s="10" t="n">
        <v>150</v>
      </c>
      <c r="C13" s="9" t="s">
        <v>21</v>
      </c>
    </row>
    <row r="14" customFormat="false" ht="15" hidden="false" customHeight="false" outlineLevel="0" collapsed="false">
      <c r="A14" s="7" t="s">
        <v>25</v>
      </c>
      <c r="B14" s="10" t="n">
        <v>150</v>
      </c>
      <c r="C14" s="9" t="s">
        <v>21</v>
      </c>
    </row>
    <row r="16" customFormat="false" ht="15" hidden="false" customHeight="false" outlineLevel="0" collapsed="false">
      <c r="A16" s="6" t="s">
        <v>26</v>
      </c>
      <c r="B16" s="6"/>
      <c r="C16" s="6"/>
      <c r="D16" s="6"/>
    </row>
    <row r="17" customFormat="false" ht="15" hidden="false" customHeight="false" outlineLevel="0" collapsed="false">
      <c r="A17" s="7" t="s">
        <v>27</v>
      </c>
      <c r="B17" s="8" t="n">
        <v>180000</v>
      </c>
      <c r="C17" s="9" t="s">
        <v>21</v>
      </c>
    </row>
    <row r="18" customFormat="false" ht="15" hidden="false" customHeight="false" outlineLevel="0" collapsed="false">
      <c r="A18" s="7" t="s">
        <v>28</v>
      </c>
      <c r="B18" s="11" t="n">
        <v>100</v>
      </c>
      <c r="C18" s="9" t="s">
        <v>29</v>
      </c>
    </row>
    <row r="20" customFormat="false" ht="15" hidden="false" customHeight="false" outlineLevel="0" collapsed="false">
      <c r="A20" s="6" t="s">
        <v>30</v>
      </c>
      <c r="B20" s="6"/>
      <c r="C20" s="6"/>
      <c r="D20" s="6"/>
    </row>
    <row r="21" customFormat="false" ht="15" hidden="false" customHeight="false" outlineLevel="0" collapsed="false">
      <c r="A21" s="7" t="s">
        <v>31</v>
      </c>
      <c r="B21" s="10" t="n">
        <v>40000</v>
      </c>
      <c r="C21" s="9" t="s">
        <v>21</v>
      </c>
    </row>
    <row r="22" customFormat="false" ht="15" hidden="false" customHeight="false" outlineLevel="0" collapsed="false">
      <c r="A22" s="7" t="s">
        <v>32</v>
      </c>
      <c r="B22" s="12" t="n">
        <v>150</v>
      </c>
      <c r="C22" s="9" t="s">
        <v>29</v>
      </c>
    </row>
    <row r="24" customFormat="false" ht="15" hidden="false" customHeight="false" outlineLevel="0" collapsed="false">
      <c r="A24" s="6" t="s">
        <v>33</v>
      </c>
      <c r="B24" s="6"/>
      <c r="C24" s="6"/>
      <c r="D24" s="6"/>
    </row>
    <row r="25" customFormat="false" ht="15" hidden="false" customHeight="false" outlineLevel="0" collapsed="false">
      <c r="A25" s="7" t="s">
        <v>34</v>
      </c>
      <c r="B25" s="13" t="n">
        <v>0.024</v>
      </c>
      <c r="C25" s="9" t="s">
        <v>35</v>
      </c>
    </row>
    <row r="27" customFormat="false" ht="15" hidden="false" customHeight="false" outlineLevel="0" collapsed="false">
      <c r="A27" s="6" t="s">
        <v>36</v>
      </c>
      <c r="B27" s="6"/>
      <c r="C27" s="6"/>
      <c r="D27" s="6"/>
    </row>
    <row r="28" customFormat="false" ht="15" hidden="false" customHeight="false" outlineLevel="0" collapsed="false">
      <c r="A28" s="7" t="s">
        <v>37</v>
      </c>
      <c r="B28" s="14" t="n">
        <v>0.15</v>
      </c>
      <c r="C28" s="9" t="s">
        <v>35</v>
      </c>
    </row>
    <row r="29" customFormat="false" ht="15" hidden="false" customHeight="false" outlineLevel="0" collapsed="false">
      <c r="A29" s="7" t="s">
        <v>38</v>
      </c>
      <c r="B29" s="13" t="n">
        <v>0.15</v>
      </c>
      <c r="C29" s="9" t="s">
        <v>35</v>
      </c>
    </row>
    <row r="31" customFormat="false" ht="15" hidden="false" customHeight="false" outlineLevel="0" collapsed="false">
      <c r="A31" s="6" t="s">
        <v>39</v>
      </c>
      <c r="B31" s="6"/>
      <c r="C31" s="6"/>
      <c r="D31" s="6"/>
    </row>
    <row r="32" customFormat="false" ht="15" hidden="false" customHeight="false" outlineLevel="0" collapsed="false">
      <c r="A32" s="7" t="s">
        <v>40</v>
      </c>
      <c r="B32" s="8" t="n">
        <v>12000</v>
      </c>
      <c r="C32" s="9" t="s">
        <v>41</v>
      </c>
    </row>
    <row r="33" customFormat="false" ht="15" hidden="false" customHeight="false" outlineLevel="0" collapsed="false">
      <c r="A33" s="7" t="s">
        <v>42</v>
      </c>
      <c r="B33" s="14" t="n">
        <v>0.03</v>
      </c>
      <c r="C33" s="9" t="s">
        <v>43</v>
      </c>
    </row>
    <row r="34" customFormat="false" ht="15" hidden="false" customHeight="false" outlineLevel="0" collapsed="false">
      <c r="A34" s="7" t="s">
        <v>44</v>
      </c>
      <c r="B34" s="10" t="n">
        <v>800</v>
      </c>
      <c r="C34" s="9" t="s">
        <v>45</v>
      </c>
    </row>
    <row r="35" customFormat="false" ht="15" hidden="false" customHeight="false" outlineLevel="0" collapsed="false">
      <c r="A35" s="7" t="s">
        <v>46</v>
      </c>
      <c r="B35" s="13" t="n">
        <v>0.4</v>
      </c>
      <c r="C35" s="9" t="s">
        <v>47</v>
      </c>
    </row>
    <row r="36" customFormat="false" ht="15" hidden="false" customHeight="false" outlineLevel="0" collapsed="false">
      <c r="A36" s="7" t="s">
        <v>48</v>
      </c>
      <c r="B36" s="10" t="n">
        <v>500</v>
      </c>
      <c r="C36" s="9" t="s">
        <v>45</v>
      </c>
    </row>
  </sheetData>
  <mergeCells count="9">
    <mergeCell ref="A1:D1"/>
    <mergeCell ref="A2:D2"/>
    <mergeCell ref="A4:D4"/>
    <mergeCell ref="A9:D9"/>
    <mergeCell ref="A16:D16"/>
    <mergeCell ref="A20:D20"/>
    <mergeCell ref="A24:D24"/>
    <mergeCell ref="A27:D27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4" t="s">
        <v>49</v>
      </c>
      <c r="B1" s="4"/>
      <c r="C1" s="4"/>
      <c r="D1" s="4"/>
    </row>
    <row r="2" customFormat="false" ht="15" hidden="false" customHeight="false" outlineLevel="0" collapsed="false">
      <c r="A2" s="5" t="s">
        <v>50</v>
      </c>
      <c r="B2" s="5"/>
      <c r="C2" s="5"/>
      <c r="D2" s="5"/>
    </row>
    <row r="4" customFormat="false" ht="15" hidden="false" customHeight="false" outlineLevel="0" collapsed="false">
      <c r="A4" s="15"/>
      <c r="B4" s="16" t="s">
        <v>51</v>
      </c>
      <c r="C4" s="16" t="s">
        <v>52</v>
      </c>
      <c r="D4" s="16" t="s">
        <v>53</v>
      </c>
    </row>
    <row r="5" customFormat="false" ht="15" hidden="false" customHeight="false" outlineLevel="0" collapsed="false">
      <c r="A5" s="17" t="s">
        <v>54</v>
      </c>
      <c r="B5" s="15"/>
      <c r="C5" s="15"/>
      <c r="D5" s="15"/>
    </row>
    <row r="6" customFormat="false" ht="15" hidden="false" customHeight="false" outlineLevel="0" collapsed="false">
      <c r="A6" s="7" t="s">
        <v>55</v>
      </c>
      <c r="B6" s="18" t="n">
        <f aca="false">Assumptions!B5</f>
        <v>10000</v>
      </c>
      <c r="C6" s="18" t="n">
        <f aca="false">Assumptions!B6</f>
        <v>15000</v>
      </c>
      <c r="D6" s="18" t="n">
        <f aca="false">Assumptions!B7</f>
        <v>20000</v>
      </c>
    </row>
    <row r="7" customFormat="false" ht="15" hidden="false" customHeight="false" outlineLevel="0" collapsed="false">
      <c r="A7" s="7" t="s">
        <v>56</v>
      </c>
      <c r="B7" s="18" t="n">
        <f aca="false">Assumptions!B34</f>
        <v>800</v>
      </c>
      <c r="C7" s="18" t="n">
        <f aca="false">Assumptions!B34</f>
        <v>800</v>
      </c>
      <c r="D7" s="18" t="n">
        <f aca="false">Assumptions!B34</f>
        <v>800</v>
      </c>
    </row>
    <row r="8" customFormat="false" ht="15" hidden="false" customHeight="false" outlineLevel="0" collapsed="false">
      <c r="A8" s="19" t="s">
        <v>57</v>
      </c>
      <c r="B8" s="20" t="n">
        <f aca="false">SUM(B6:B7)</f>
        <v>10800</v>
      </c>
      <c r="C8" s="20" t="n">
        <f aca="false">SUM(C6:C7)</f>
        <v>15800</v>
      </c>
      <c r="D8" s="20" t="n">
        <f aca="false">SUM(D6:D7)</f>
        <v>20800</v>
      </c>
    </row>
    <row r="9" customFormat="false" ht="15" hidden="false" customHeight="false" outlineLevel="0" collapsed="false">
      <c r="A9" s="7" t="s">
        <v>58</v>
      </c>
      <c r="B9" s="18" t="n">
        <f aca="false">-B8*Assumptions!B25</f>
        <v>-259.2</v>
      </c>
      <c r="C9" s="18" t="n">
        <f aca="false">-C8*Assumptions!B25</f>
        <v>-379.2</v>
      </c>
      <c r="D9" s="18" t="n">
        <f aca="false">-D8*Assumptions!B25</f>
        <v>-499.2</v>
      </c>
    </row>
    <row r="10" customFormat="false" ht="15" hidden="false" customHeight="false" outlineLevel="0" collapsed="false">
      <c r="A10" s="21" t="s">
        <v>59</v>
      </c>
      <c r="B10" s="22" t="n">
        <f aca="false">B8+B9</f>
        <v>10540.8</v>
      </c>
      <c r="C10" s="22" t="n">
        <f aca="false">C8+C9</f>
        <v>15420.8</v>
      </c>
      <c r="D10" s="22" t="n">
        <f aca="false">D8+D9</f>
        <v>20300.8</v>
      </c>
    </row>
    <row r="12" customFormat="false" ht="15" hidden="false" customHeight="false" outlineLevel="0" collapsed="false">
      <c r="A12" s="17" t="s">
        <v>60</v>
      </c>
      <c r="B12" s="15"/>
      <c r="C12" s="15"/>
      <c r="D12" s="15"/>
    </row>
    <row r="13" customFormat="false" ht="15" hidden="false" customHeight="false" outlineLevel="0" collapsed="false">
      <c r="A13" s="7" t="s">
        <v>61</v>
      </c>
      <c r="B13" s="18" t="n">
        <f aca="false">-Assumptions!B10</f>
        <v>-1800</v>
      </c>
      <c r="C13" s="18" t="n">
        <f aca="false">-Assumptions!B10</f>
        <v>-1800</v>
      </c>
      <c r="D13" s="18" t="n">
        <f aca="false">-Assumptions!B10</f>
        <v>-1800</v>
      </c>
    </row>
    <row r="14" customFormat="false" ht="15" hidden="false" customHeight="false" outlineLevel="0" collapsed="false">
      <c r="A14" s="7" t="s">
        <v>62</v>
      </c>
      <c r="B14" s="18" t="n">
        <f aca="false">-Assumptions!B11</f>
        <v>-120</v>
      </c>
      <c r="C14" s="18" t="n">
        <f aca="false">-Assumptions!B11</f>
        <v>-120</v>
      </c>
      <c r="D14" s="18" t="n">
        <f aca="false">-Assumptions!B11</f>
        <v>-120</v>
      </c>
    </row>
    <row r="15" customFormat="false" ht="15" hidden="false" customHeight="false" outlineLevel="0" collapsed="false">
      <c r="A15" s="7" t="s">
        <v>63</v>
      </c>
      <c r="B15" s="18" t="n">
        <f aca="false">-Assumptions!B12</f>
        <v>-70</v>
      </c>
      <c r="C15" s="18" t="n">
        <f aca="false">-Assumptions!B12</f>
        <v>-70</v>
      </c>
      <c r="D15" s="18" t="n">
        <f aca="false">-Assumptions!B12</f>
        <v>-70</v>
      </c>
    </row>
    <row r="16" customFormat="false" ht="15" hidden="false" customHeight="false" outlineLevel="0" collapsed="false">
      <c r="A16" s="7" t="s">
        <v>64</v>
      </c>
      <c r="B16" s="18" t="n">
        <f aca="false">-Assumptions!B17/Assumptions!B18</f>
        <v>-1800</v>
      </c>
      <c r="C16" s="18" t="n">
        <f aca="false">-Assumptions!B17/Assumptions!B18</f>
        <v>-1800</v>
      </c>
      <c r="D16" s="18" t="n">
        <f aca="false">-Assumptions!B17/Assumptions!B18</f>
        <v>-1800</v>
      </c>
    </row>
    <row r="17" customFormat="false" ht="15" hidden="false" customHeight="false" outlineLevel="0" collapsed="false">
      <c r="A17" s="7" t="s">
        <v>65</v>
      </c>
      <c r="B17" s="18" t="n">
        <f aca="false">-Assumptions!B21/Assumptions!B22</f>
        <v>-266.666666666667</v>
      </c>
      <c r="C17" s="18" t="n">
        <f aca="false">-Assumptions!B21/Assumptions!B22</f>
        <v>-266.666666666667</v>
      </c>
      <c r="D17" s="18" t="n">
        <f aca="false">-Assumptions!B21/Assumptions!B22</f>
        <v>-266.666666666667</v>
      </c>
    </row>
    <row r="18" customFormat="false" ht="15" hidden="false" customHeight="false" outlineLevel="0" collapsed="false">
      <c r="A18" s="7" t="s">
        <v>66</v>
      </c>
      <c r="B18" s="18" t="n">
        <f aca="false">-Assumptions!B13</f>
        <v>-150</v>
      </c>
      <c r="C18" s="18" t="n">
        <f aca="false">-Assumptions!B13</f>
        <v>-150</v>
      </c>
      <c r="D18" s="18" t="n">
        <f aca="false">-Assumptions!B13</f>
        <v>-150</v>
      </c>
    </row>
    <row r="19" customFormat="false" ht="15" hidden="false" customHeight="false" outlineLevel="0" collapsed="false">
      <c r="A19" s="7" t="s">
        <v>67</v>
      </c>
      <c r="B19" s="18" t="n">
        <f aca="false">-Assumptions!B14</f>
        <v>-150</v>
      </c>
      <c r="C19" s="18" t="n">
        <f aca="false">-Assumptions!B14</f>
        <v>-150</v>
      </c>
      <c r="D19" s="18" t="n">
        <f aca="false">-Assumptions!B14</f>
        <v>-150</v>
      </c>
    </row>
    <row r="20" customFormat="false" ht="15" hidden="false" customHeight="false" outlineLevel="0" collapsed="false">
      <c r="A20" s="7" t="s">
        <v>68</v>
      </c>
      <c r="B20" s="18" t="n">
        <f aca="false">-Assumptions!B34*(1-Assumptions!B35)</f>
        <v>-480</v>
      </c>
      <c r="C20" s="18" t="n">
        <f aca="false">-Assumptions!B34*(1-Assumptions!B35)</f>
        <v>-480</v>
      </c>
      <c r="D20" s="18" t="n">
        <f aca="false">-Assumptions!B34*(1-Assumptions!B35)</f>
        <v>-480</v>
      </c>
    </row>
    <row r="21" customFormat="false" ht="15" hidden="false" customHeight="false" outlineLevel="0" collapsed="false">
      <c r="A21" s="21" t="s">
        <v>69</v>
      </c>
      <c r="B21" s="22" t="n">
        <f aca="false">SUM(B13:B20)</f>
        <v>-4836.66666666667</v>
      </c>
      <c r="C21" s="22" t="n">
        <f aca="false">SUM(C13:C20)</f>
        <v>-4836.66666666667</v>
      </c>
      <c r="D21" s="22" t="n">
        <f aca="false">SUM(D13:D20)</f>
        <v>-4836.66666666667</v>
      </c>
    </row>
    <row r="22" customFormat="false" ht="15" hidden="false" customHeight="false" outlineLevel="0" collapsed="false">
      <c r="A22" s="7" t="s">
        <v>70</v>
      </c>
      <c r="B22" s="18" t="n">
        <f aca="false">Assumptions!B36</f>
        <v>500</v>
      </c>
      <c r="C22" s="18" t="n">
        <f aca="false">Assumptions!B36</f>
        <v>500</v>
      </c>
      <c r="D22" s="18" t="n">
        <f aca="false">Assumptions!B36</f>
        <v>500</v>
      </c>
    </row>
    <row r="23" customFormat="false" ht="15" hidden="false" customHeight="false" outlineLevel="0" collapsed="false">
      <c r="A23" s="19" t="s">
        <v>71</v>
      </c>
      <c r="B23" s="20" t="n">
        <f aca="false">B10+B21+B22</f>
        <v>6204.13333333333</v>
      </c>
      <c r="C23" s="20" t="n">
        <f aca="false">C10+C21+C22</f>
        <v>11084.1333333333</v>
      </c>
      <c r="D23" s="20" t="n">
        <f aca="false">D10+D21+D22</f>
        <v>15964.1333333333</v>
      </c>
    </row>
    <row r="24" customFormat="false" ht="15" hidden="false" customHeight="false" outlineLevel="0" collapsed="false">
      <c r="A24" s="21" t="s">
        <v>72</v>
      </c>
      <c r="B24" s="23" t="n">
        <f aca="false">B23/B8</f>
        <v>0.574456790123457</v>
      </c>
      <c r="C24" s="23" t="n">
        <f aca="false">C23/C8</f>
        <v>0.701527426160338</v>
      </c>
      <c r="D24" s="23" t="n">
        <f aca="false">D23/D8</f>
        <v>0.76750641025641</v>
      </c>
    </row>
    <row r="26" customFormat="false" ht="15" hidden="false" customHeight="false" outlineLevel="0" collapsed="false">
      <c r="A26" s="17" t="s">
        <v>73</v>
      </c>
      <c r="B26" s="15"/>
      <c r="C26" s="15"/>
      <c r="D26" s="15"/>
    </row>
    <row r="27" customFormat="false" ht="15" hidden="false" customHeight="false" outlineLevel="0" collapsed="false">
      <c r="A27" s="7" t="s">
        <v>74</v>
      </c>
      <c r="B27" s="18" t="n">
        <f aca="false">-B8*Assumptions!B28</f>
        <v>-1620</v>
      </c>
      <c r="C27" s="18" t="n">
        <f aca="false">-C8*Assumptions!B28</f>
        <v>-2370</v>
      </c>
      <c r="D27" s="18" t="n">
        <f aca="false">-D8*Assumptions!B28</f>
        <v>-3120</v>
      </c>
    </row>
    <row r="28" customFormat="false" ht="15" hidden="false" customHeight="false" outlineLevel="0" collapsed="false">
      <c r="A28" s="7" t="s">
        <v>75</v>
      </c>
      <c r="B28" s="18" t="n">
        <f aca="false">-B8*Assumptions!B29</f>
        <v>-1620</v>
      </c>
      <c r="C28" s="18" t="n">
        <f aca="false">-C8*Assumptions!B29</f>
        <v>-2370</v>
      </c>
      <c r="D28" s="18" t="n">
        <f aca="false">-D8*Assumptions!B29</f>
        <v>-3120</v>
      </c>
    </row>
    <row r="29" customFormat="false" ht="15" hidden="false" customHeight="false" outlineLevel="0" collapsed="false">
      <c r="A29" s="21" t="s">
        <v>76</v>
      </c>
      <c r="B29" s="22" t="n">
        <f aca="false">SUM(B27:B28)</f>
        <v>-3240</v>
      </c>
      <c r="C29" s="22" t="n">
        <f aca="false">SUM(C27:C28)</f>
        <v>-4740</v>
      </c>
      <c r="D29" s="22" t="n">
        <f aca="false">SUM(D27:D28)</f>
        <v>-6240</v>
      </c>
    </row>
    <row r="30" customFormat="false" ht="15" hidden="false" customHeight="false" outlineLevel="0" collapsed="false">
      <c r="A30" s="19" t="s">
        <v>77</v>
      </c>
      <c r="B30" s="20" t="n">
        <f aca="false">B23+B29</f>
        <v>2964.13333333333</v>
      </c>
      <c r="C30" s="20" t="n">
        <f aca="false">C23+C29</f>
        <v>6344.13333333333</v>
      </c>
      <c r="D30" s="20" t="n">
        <f aca="false">D23+D29</f>
        <v>9724.13333333333</v>
      </c>
    </row>
    <row r="31" customFormat="false" ht="15" hidden="false" customHeight="false" outlineLevel="0" collapsed="false">
      <c r="A31" s="21" t="s">
        <v>78</v>
      </c>
      <c r="B31" s="23" t="n">
        <f aca="false">B30/B8</f>
        <v>0.274456790123457</v>
      </c>
      <c r="C31" s="23" t="n">
        <f aca="false">C30/C8</f>
        <v>0.401527426160337</v>
      </c>
      <c r="D31" s="23" t="n">
        <f aca="false">D30/D8</f>
        <v>0.46750641025641</v>
      </c>
    </row>
    <row r="33" customFormat="false" ht="15" hidden="false" customHeight="false" outlineLevel="0" collapsed="false">
      <c r="A33" s="17" t="s">
        <v>79</v>
      </c>
      <c r="B33" s="15"/>
      <c r="C33" s="15"/>
      <c r="D33" s="15"/>
    </row>
    <row r="34" customFormat="false" ht="15" hidden="false" customHeight="false" outlineLevel="0" collapsed="false">
      <c r="A34" s="7" t="s">
        <v>80</v>
      </c>
      <c r="B34" s="24" t="n">
        <f aca="false">B23/Assumptions!B33</f>
        <v>206804.444444444</v>
      </c>
      <c r="C34" s="24" t="n">
        <f aca="false">C23/Assumptions!B33</f>
        <v>369471.111111111</v>
      </c>
      <c r="D34" s="24" t="n">
        <f aca="false">D23/Assumptions!B33</f>
        <v>532137.777777778</v>
      </c>
    </row>
    <row r="35" customFormat="false" ht="15" hidden="false" customHeight="false" outlineLevel="0" collapsed="false">
      <c r="A35" s="7" t="s">
        <v>81</v>
      </c>
      <c r="B35" s="18" t="n">
        <f aca="false">Assumptions!B32</f>
        <v>12000</v>
      </c>
      <c r="C35" s="18" t="n">
        <f aca="false">Assumptions!B32</f>
        <v>12000</v>
      </c>
      <c r="D35" s="18" t="n">
        <f aca="false">Assumptions!B32</f>
        <v>12000</v>
      </c>
    </row>
    <row r="36" customFormat="false" ht="15" hidden="false" customHeight="false" outlineLevel="0" collapsed="false">
      <c r="A36" s="21" t="s">
        <v>82</v>
      </c>
      <c r="B36" s="25" t="n">
        <f aca="false">B34/B35</f>
        <v>17.2337037037037</v>
      </c>
      <c r="C36" s="25" t="n">
        <f aca="false">C34/C35</f>
        <v>30.7892592592593</v>
      </c>
      <c r="D36" s="25" t="n">
        <f aca="false">D34/D35</f>
        <v>44.3448148148148</v>
      </c>
    </row>
    <row r="37" customFormat="false" ht="15" hidden="false" customHeight="false" outlineLevel="0" collapsed="false">
      <c r="A37" s="21" t="s">
        <v>83</v>
      </c>
      <c r="B37" s="26" t="n">
        <f aca="false">B35/B23</f>
        <v>1.93419440802906</v>
      </c>
      <c r="C37" s="26" t="n">
        <f aca="false">C35/C23</f>
        <v>1.08262862229493</v>
      </c>
      <c r="D37" s="26" t="n">
        <f aca="false">D35/D23</f>
        <v>0.751685027269463</v>
      </c>
    </row>
    <row r="38" customFormat="false" ht="15" hidden="false" customHeight="false" outlineLevel="0" collapsed="false">
      <c r="A38" s="7" t="s">
        <v>84</v>
      </c>
      <c r="B38" s="27" t="n">
        <f aca="false">1/Assumptions!B33</f>
        <v>33.3333333333333</v>
      </c>
      <c r="C38" s="27" t="n">
        <f aca="false">1/Assumptions!B33</f>
        <v>33.3333333333333</v>
      </c>
      <c r="D38" s="27" t="n">
        <f aca="false">1/Assumptions!B33</f>
        <v>33.3333333333333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2"/>
  </cols>
  <sheetData>
    <row r="1" customFormat="false" ht="27.75" hidden="false" customHeight="true" outlineLevel="0" collapsed="false">
      <c r="A1" s="4" t="s">
        <v>85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86</v>
      </c>
      <c r="B2" s="5"/>
      <c r="C2" s="5"/>
      <c r="D2" s="5"/>
      <c r="E2" s="5"/>
      <c r="F2" s="5"/>
      <c r="G2" s="5"/>
      <c r="H2" s="5"/>
    </row>
    <row r="4" customFormat="false" ht="39.55" hidden="false" customHeight="false" outlineLevel="0" collapsed="false">
      <c r="A4" s="28" t="s">
        <v>87</v>
      </c>
      <c r="B4" s="29" t="n">
        <v>30</v>
      </c>
      <c r="C4" s="29" t="n">
        <v>50</v>
      </c>
      <c r="D4" s="29" t="n">
        <v>70</v>
      </c>
      <c r="E4" s="29" t="n">
        <v>90</v>
      </c>
      <c r="F4" s="29" t="n">
        <v>100</v>
      </c>
      <c r="G4" s="29" t="n">
        <v>120</v>
      </c>
      <c r="H4" s="29" t="n">
        <v>150</v>
      </c>
    </row>
    <row r="5" customFormat="false" ht="15" hidden="false" customHeight="false" outlineLevel="0" collapsed="false">
      <c r="A5" s="30" t="n">
        <v>8000</v>
      </c>
      <c r="B5" s="31" t="n">
        <f aca="false">((($A5+Assumptions!B34)*(1-Assumptions!B25))-(Assumptions!B10+Assumptions!B11+Assumptions!B12+Assumptions!B17/B$4+Assumptions!B21/Assumptions!B22+Assumptions!B13+Assumptions!B14+Assumptions!B34*(1-Assumptions!B35))+Assumptions!B36-(($A5+Assumptions!B34)*(Assumptions!B28+Assumptions!B29)))/($A5+Assumptions!B34)</f>
        <v>-0.294075757575758</v>
      </c>
      <c r="C5" s="31" t="n">
        <f aca="false">((($A5+Assumptions!B34)*(1-Assumptions!B25))-(Assumptions!B10+Assumptions!B11+Assumptions!B12+Assumptions!B17/C$4+Assumptions!B21/Assumptions!B22+Assumptions!B13+Assumptions!B14+Assumptions!B34*(1-Assumptions!B35))+Assumptions!B36-(($A5+Assumptions!B34)*(Assumptions!B28+Assumptions!B29)))/($A5+Assumptions!B34)</f>
        <v>-0.021348484848485</v>
      </c>
      <c r="D5" s="31" t="n">
        <f aca="false">((($A5+Assumptions!B34)*(1-Assumptions!B25))-(Assumptions!B10+Assumptions!B11+Assumptions!B12+Assumptions!B17/D$4+Assumptions!B21/Assumptions!B22+Assumptions!B13+Assumptions!B14+Assumptions!B34*(1-Assumptions!B35))+Assumptions!B36-(($A5+Assumptions!B34)*(Assumptions!B28+Assumptions!B29)))/($A5+Assumptions!B34)</f>
        <v>0.0955346320346319</v>
      </c>
      <c r="E5" s="31" t="n">
        <f aca="false">((($A5+Assumptions!B34)*(1-Assumptions!B25))-(Assumptions!B10+Assumptions!B11+Assumptions!B12+Assumptions!B17/E$4+Assumptions!B21/Assumptions!B22+Assumptions!B13+Assumptions!B14+Assumptions!B34*(1-Assumptions!B35))+Assumptions!B36-(($A5+Assumptions!B34)*(Assumptions!B28+Assumptions!B29)))/($A5+Assumptions!B34)</f>
        <v>0.160469696969697</v>
      </c>
      <c r="F5" s="31" t="n">
        <f aca="false">((($A5+Assumptions!B34)*(1-Assumptions!B25))-(Assumptions!B10+Assumptions!B11+Assumptions!B12+Assumptions!B17/F$4+Assumptions!B21/Assumptions!B22+Assumptions!B13+Assumptions!B14+Assumptions!B34*(1-Assumptions!B35))+Assumptions!B36-(($A5+Assumptions!B34)*(Assumptions!B28+Assumptions!B29)))/($A5+Assumptions!B34)</f>
        <v>0.18319696969697</v>
      </c>
      <c r="G5" s="31" t="n">
        <f aca="false">((($A5+Assumptions!B34)*(1-Assumptions!B25))-(Assumptions!B10+Assumptions!B11+Assumptions!B12+Assumptions!B17/G$4+Assumptions!B21/Assumptions!B22+Assumptions!B13+Assumptions!B14+Assumptions!B34*(1-Assumptions!B35))+Assumptions!B36-(($A5+Assumptions!B34)*(Assumptions!B28+Assumptions!B29)))/($A5+Assumptions!B34)</f>
        <v>0.217287878787879</v>
      </c>
      <c r="H5" s="31" t="n">
        <f aca="false">((($A5+Assumptions!B34)*(1-Assumptions!B25))-(Assumptions!B10+Assumptions!B11+Assumptions!B12+Assumptions!B17/H$4+Assumptions!B21/Assumptions!B22+Assumptions!B13+Assumptions!B14+Assumptions!B34*(1-Assumptions!B35))+Assumptions!B36-(($A5+Assumptions!B34)*(Assumptions!B28+Assumptions!B29)))/($A5+Assumptions!B34)</f>
        <v>0.251378787878788</v>
      </c>
    </row>
    <row r="6" customFormat="false" ht="15" hidden="false" customHeight="false" outlineLevel="0" collapsed="false">
      <c r="A6" s="30" t="n">
        <v>10000</v>
      </c>
      <c r="B6" s="31" t="n">
        <f aca="false">((($A6+Assumptions!B34)*(1-Assumptions!B25))-(Assumptions!B10+Assumptions!B11+Assumptions!B12+Assumptions!B17/B$4+Assumptions!B21/Assumptions!B22+Assumptions!B13+Assumptions!B14+Assumptions!B34*(1-Assumptions!B35))+Assumptions!B36-(($A6+Assumptions!B34)*(Assumptions!B28+Assumptions!B29)))/($A6+Assumptions!B34)</f>
        <v>-0.114432098765432</v>
      </c>
      <c r="C6" s="31" t="n">
        <f aca="false">((($A6+Assumptions!B34)*(1-Assumptions!B25))-(Assumptions!B10+Assumptions!B11+Assumptions!B12+Assumptions!B17/C$4+Assumptions!B21/Assumptions!B22+Assumptions!B13+Assumptions!B14+Assumptions!B34*(1-Assumptions!B35))+Assumptions!B36-(($A6+Assumptions!B34)*(Assumptions!B28+Assumptions!B29)))/($A6+Assumptions!B34)</f>
        <v>0.10779012345679</v>
      </c>
      <c r="D6" s="31" t="n">
        <f aca="false">((($A6+Assumptions!B34)*(1-Assumptions!B25))-(Assumptions!B10+Assumptions!B11+Assumptions!B12+Assumptions!B17/D$4+Assumptions!B21/Assumptions!B22+Assumptions!B13+Assumptions!B14+Assumptions!B34*(1-Assumptions!B35))+Assumptions!B36-(($A6+Assumptions!B34)*(Assumptions!B28+Assumptions!B29)))/($A6+Assumptions!B34)</f>
        <v>0.203028218694885</v>
      </c>
      <c r="E6" s="31" t="n">
        <f aca="false">((($A6+Assumptions!B34)*(1-Assumptions!B25))-(Assumptions!B10+Assumptions!B11+Assumptions!B12+Assumptions!B17/E$4+Assumptions!B21/Assumptions!B22+Assumptions!B13+Assumptions!B14+Assumptions!B34*(1-Assumptions!B35))+Assumptions!B36-(($A6+Assumptions!B34)*(Assumptions!B28+Assumptions!B29)))/($A6+Assumptions!B34)</f>
        <v>0.255938271604938</v>
      </c>
      <c r="F6" s="31" t="n">
        <f aca="false">((($A6+Assumptions!B34)*(1-Assumptions!B25))-(Assumptions!B10+Assumptions!B11+Assumptions!B12+Assumptions!B17/F$4+Assumptions!B21/Assumptions!B22+Assumptions!B13+Assumptions!B14+Assumptions!B34*(1-Assumptions!B35))+Assumptions!B36-(($A6+Assumptions!B34)*(Assumptions!B28+Assumptions!B29)))/($A6+Assumptions!B34)</f>
        <v>0.274456790123457</v>
      </c>
      <c r="G6" s="31" t="n">
        <f aca="false">((($A6+Assumptions!B34)*(1-Assumptions!B25))-(Assumptions!B10+Assumptions!B11+Assumptions!B12+Assumptions!B17/G$4+Assumptions!B21/Assumptions!B22+Assumptions!B13+Assumptions!B14+Assumptions!B34*(1-Assumptions!B35))+Assumptions!B36-(($A6+Assumptions!B34)*(Assumptions!B28+Assumptions!B29)))/($A6+Assumptions!B34)</f>
        <v>0.302234567901235</v>
      </c>
      <c r="H6" s="31" t="n">
        <f aca="false">((($A6+Assumptions!B34)*(1-Assumptions!B25))-(Assumptions!B10+Assumptions!B11+Assumptions!B12+Assumptions!B17/H$4+Assumptions!B21/Assumptions!B22+Assumptions!B13+Assumptions!B14+Assumptions!B34*(1-Assumptions!B35))+Assumptions!B36-(($A6+Assumptions!B34)*(Assumptions!B28+Assumptions!B29)))/($A6+Assumptions!B34)</f>
        <v>0.330012345679012</v>
      </c>
    </row>
    <row r="7" customFormat="false" ht="15" hidden="false" customHeight="false" outlineLevel="0" collapsed="false">
      <c r="A7" s="30" t="n">
        <v>12000</v>
      </c>
      <c r="B7" s="31" t="n">
        <f aca="false">((($A7+Assumptions!B34)*(1-Assumptions!B25))-(Assumptions!B10+Assumptions!B11+Assumptions!B12+Assumptions!B17/B$4+Assumptions!B21/Assumptions!B22+Assumptions!B13+Assumptions!B14+Assumptions!B34*(1-Assumptions!B35))+Assumptions!B36-(($A7+Assumptions!B34)*(Assumptions!B28+Assumptions!B29)))/($A7+Assumptions!B34)</f>
        <v>0.00907291666666666</v>
      </c>
      <c r="C7" s="31" t="n">
        <f aca="false">((($A7+Assumptions!B34)*(1-Assumptions!B25))-(Assumptions!B10+Assumptions!B11+Assumptions!B12+Assumptions!B17/C$4+Assumptions!B21/Assumptions!B22+Assumptions!B13+Assumptions!B14+Assumptions!B34*(1-Assumptions!B35))+Assumptions!B36-(($A7+Assumptions!B34)*(Assumptions!B28+Assumptions!B29)))/($A7+Assumptions!B34)</f>
        <v>0.196572916666667</v>
      </c>
      <c r="D7" s="31" t="n">
        <f aca="false">((($A7+Assumptions!B34)*(1-Assumptions!B25))-(Assumptions!B10+Assumptions!B11+Assumptions!B12+Assumptions!B17/D$4+Assumptions!B21/Assumptions!B22+Assumptions!B13+Assumptions!B14+Assumptions!B34*(1-Assumptions!B35))+Assumptions!B36-(($A7+Assumptions!B34)*(Assumptions!B28+Assumptions!B29)))/($A7+Assumptions!B34)</f>
        <v>0.276930059523809</v>
      </c>
      <c r="E7" s="31" t="n">
        <f aca="false">((($A7+Assumptions!B34)*(1-Assumptions!B25))-(Assumptions!B10+Assumptions!B11+Assumptions!B12+Assumptions!B17/E$4+Assumptions!B21/Assumptions!B22+Assumptions!B13+Assumptions!B14+Assumptions!B34*(1-Assumptions!B35))+Assumptions!B36-(($A7+Assumptions!B34)*(Assumptions!B28+Assumptions!B29)))/($A7+Assumptions!B34)</f>
        <v>0.321572916666667</v>
      </c>
      <c r="F7" s="31" t="n">
        <f aca="false">((($A7+Assumptions!B34)*(1-Assumptions!B25))-(Assumptions!B10+Assumptions!B11+Assumptions!B12+Assumptions!B17/F$4+Assumptions!B21/Assumptions!B22+Assumptions!B13+Assumptions!B14+Assumptions!B34*(1-Assumptions!B35))+Assumptions!B36-(($A7+Assumptions!B34)*(Assumptions!B28+Assumptions!B29)))/($A7+Assumptions!B34)</f>
        <v>0.337197916666667</v>
      </c>
      <c r="G7" s="31" t="n">
        <f aca="false">((($A7+Assumptions!B34)*(1-Assumptions!B25))-(Assumptions!B10+Assumptions!B11+Assumptions!B12+Assumptions!B17/G$4+Assumptions!B21/Assumptions!B22+Assumptions!B13+Assumptions!B14+Assumptions!B34*(1-Assumptions!B35))+Assumptions!B36-(($A7+Assumptions!B34)*(Assumptions!B28+Assumptions!B29)))/($A7+Assumptions!B34)</f>
        <v>0.360635416666667</v>
      </c>
      <c r="H7" s="31" t="n">
        <f aca="false">((($A7+Assumptions!B34)*(1-Assumptions!B25))-(Assumptions!B10+Assumptions!B11+Assumptions!B12+Assumptions!B17/H$4+Assumptions!B21/Assumptions!B22+Assumptions!B13+Assumptions!B14+Assumptions!B34*(1-Assumptions!B35))+Assumptions!B36-(($A7+Assumptions!B34)*(Assumptions!B28+Assumptions!B29)))/($A7+Assumptions!B34)</f>
        <v>0.384072916666667</v>
      </c>
    </row>
    <row r="8" customFormat="false" ht="15" hidden="false" customHeight="false" outlineLevel="0" collapsed="false">
      <c r="A8" s="30" t="n">
        <v>15000</v>
      </c>
      <c r="B8" s="31" t="n">
        <f aca="false">((($A8+Assumptions!B34)*(1-Assumptions!B25))-(Assumptions!B10+Assumptions!B11+Assumptions!B12+Assumptions!B17/B$4+Assumptions!B21/Assumptions!B22+Assumptions!B13+Assumptions!B14+Assumptions!B34*(1-Assumptions!B35))+Assumptions!B36-(($A8+Assumptions!B34)*(Assumptions!B28+Assumptions!B29)))/($A8+Assumptions!B34)</f>
        <v>0.135704641350211</v>
      </c>
      <c r="C8" s="31" t="n">
        <f aca="false">((($A8+Assumptions!B34)*(1-Assumptions!B25))-(Assumptions!B10+Assumptions!B11+Assumptions!B12+Assumptions!B17/C$4+Assumptions!B21/Assumptions!B22+Assumptions!B13+Assumptions!B14+Assumptions!B34*(1-Assumptions!B35))+Assumptions!B36-(($A8+Assumptions!B34)*(Assumptions!B28+Assumptions!B29)))/($A8+Assumptions!B34)</f>
        <v>0.287603375527426</v>
      </c>
      <c r="D8" s="31" t="n">
        <f aca="false">((($A8+Assumptions!B34)*(1-Assumptions!B25))-(Assumptions!B10+Assumptions!B11+Assumptions!B12+Assumptions!B17/D$4+Assumptions!B21/Assumptions!B22+Assumptions!B13+Assumptions!B14+Assumptions!B34*(1-Assumptions!B35))+Assumptions!B36-(($A8+Assumptions!B34)*(Assumptions!B28+Assumptions!B29)))/($A8+Assumptions!B34)</f>
        <v>0.352702833031947</v>
      </c>
      <c r="E8" s="31" t="n">
        <f aca="false">((($A8+Assumptions!B34)*(1-Assumptions!B25))-(Assumptions!B10+Assumptions!B11+Assumptions!B12+Assumptions!B17/E$4+Assumptions!B21/Assumptions!B22+Assumptions!B13+Assumptions!B14+Assumptions!B34*(1-Assumptions!B35))+Assumptions!B36-(($A8+Assumptions!B34)*(Assumptions!B28+Assumptions!B29)))/($A8+Assumptions!B34)</f>
        <v>0.388869198312236</v>
      </c>
      <c r="F8" s="32" t="n">
        <f aca="false">((($A8+Assumptions!B34)*(1-Assumptions!B25))-(Assumptions!B10+Assumptions!B11+Assumptions!B12+Assumptions!B17/F$4+Assumptions!B21/Assumptions!B22+Assumptions!B13+Assumptions!B14+Assumptions!B34*(1-Assumptions!B35))+Assumptions!B36-(($A8+Assumptions!B34)*(Assumptions!B28+Assumptions!B29)))/($A8+Assumptions!B34)</f>
        <v>0.401527426160338</v>
      </c>
      <c r="G8" s="31" t="n">
        <f aca="false">((($A8+Assumptions!B34)*(1-Assumptions!B25))-(Assumptions!B10+Assumptions!B11+Assumptions!B12+Assumptions!B17/G$4+Assumptions!B21/Assumptions!B22+Assumptions!B13+Assumptions!B14+Assumptions!B34*(1-Assumptions!B35))+Assumptions!B36-(($A8+Assumptions!B34)*(Assumptions!B28+Assumptions!B29)))/($A8+Assumptions!B34)</f>
        <v>0.420514767932489</v>
      </c>
      <c r="H8" s="31" t="n">
        <f aca="false">((($A8+Assumptions!B34)*(1-Assumptions!B25))-(Assumptions!B10+Assumptions!B11+Assumptions!B12+Assumptions!B17/H$4+Assumptions!B21/Assumptions!B22+Assumptions!B13+Assumptions!B14+Assumptions!B34*(1-Assumptions!B35))+Assumptions!B36-(($A8+Assumptions!B34)*(Assumptions!B28+Assumptions!B29)))/($A8+Assumptions!B34)</f>
        <v>0.439502109704641</v>
      </c>
    </row>
    <row r="9" customFormat="false" ht="15" hidden="false" customHeight="false" outlineLevel="0" collapsed="false">
      <c r="A9" s="30" t="n">
        <v>18000</v>
      </c>
      <c r="B9" s="31" t="n">
        <f aca="false">((($A9+Assumptions!B34)*(1-Assumptions!B25))-(Assumptions!B10+Assumptions!B11+Assumptions!B12+Assumptions!B17/B$4+Assumptions!B21/Assumptions!B22+Assumptions!B13+Assumptions!B14+Assumptions!B34*(1-Assumptions!B35))+Assumptions!B36-(($A9+Assumptions!B34)*(Assumptions!B28+Assumptions!B29)))/($A9+Assumptions!B34)</f>
        <v>0.221921985815603</v>
      </c>
      <c r="C9" s="31" t="n">
        <f aca="false">((($A9+Assumptions!B34)*(1-Assumptions!B25))-(Assumptions!B10+Assumptions!B11+Assumptions!B12+Assumptions!B17/C$4+Assumptions!B21/Assumptions!B22+Assumptions!B13+Assumptions!B14+Assumptions!B34*(1-Assumptions!B35))+Assumptions!B36-(($A9+Assumptions!B34)*(Assumptions!B28+Assumptions!B29)))/($A9+Assumptions!B34)</f>
        <v>0.349581560283688</v>
      </c>
      <c r="D9" s="31" t="n">
        <f aca="false">((($A9+Assumptions!B34)*(1-Assumptions!B25))-(Assumptions!B10+Assumptions!B11+Assumptions!B12+Assumptions!B17/D$4+Assumptions!B21/Assumptions!B22+Assumptions!B13+Assumptions!B14+Assumptions!B34*(1-Assumptions!B35))+Assumptions!B36-(($A9+Assumptions!B34)*(Assumptions!B28+Assumptions!B29)))/($A9+Assumptions!B34)</f>
        <v>0.404292806484296</v>
      </c>
      <c r="E9" s="31" t="n">
        <f aca="false">((($A9+Assumptions!B34)*(1-Assumptions!B25))-(Assumptions!B10+Assumptions!B11+Assumptions!B12+Assumptions!B17/E$4+Assumptions!B21/Assumptions!B22+Assumptions!B13+Assumptions!B14+Assumptions!B34*(1-Assumptions!B35))+Assumptions!B36-(($A9+Assumptions!B34)*(Assumptions!B28+Assumptions!B29)))/($A9+Assumptions!B34)</f>
        <v>0.434687943262411</v>
      </c>
      <c r="F9" s="31" t="n">
        <f aca="false">((($A9+Assumptions!B34)*(1-Assumptions!B25))-(Assumptions!B10+Assumptions!B11+Assumptions!B12+Assumptions!B17/F$4+Assumptions!B21/Assumptions!B22+Assumptions!B13+Assumptions!B14+Assumptions!B34*(1-Assumptions!B35))+Assumptions!B36-(($A9+Assumptions!B34)*(Assumptions!B28+Assumptions!B29)))/($A9+Assumptions!B34)</f>
        <v>0.445326241134752</v>
      </c>
      <c r="G9" s="31" t="n">
        <f aca="false">((($A9+Assumptions!B34)*(1-Assumptions!B25))-(Assumptions!B10+Assumptions!B11+Assumptions!B12+Assumptions!B17/G$4+Assumptions!B21/Assumptions!B22+Assumptions!B13+Assumptions!B14+Assumptions!B34*(1-Assumptions!B35))+Assumptions!B36-(($A9+Assumptions!B34)*(Assumptions!B28+Assumptions!B29)))/($A9+Assumptions!B34)</f>
        <v>0.461283687943262</v>
      </c>
      <c r="H9" s="31" t="n">
        <f aca="false">((($A9+Assumptions!B34)*(1-Assumptions!B25))-(Assumptions!B10+Assumptions!B11+Assumptions!B12+Assumptions!B17/H$4+Assumptions!B21/Assumptions!B22+Assumptions!B13+Assumptions!B14+Assumptions!B34*(1-Assumptions!B35))+Assumptions!B36-(($A9+Assumptions!B34)*(Assumptions!B28+Assumptions!B29)))/($A9+Assumptions!B34)</f>
        <v>0.477241134751773</v>
      </c>
    </row>
    <row r="10" customFormat="false" ht="15" hidden="false" customHeight="false" outlineLevel="0" collapsed="false">
      <c r="A10" s="30" t="n">
        <v>20000</v>
      </c>
      <c r="B10" s="31" t="n">
        <f aca="false">((($A10+Assumptions!B34)*(1-Assumptions!B25))-(Assumptions!B10+Assumptions!B11+Assumptions!B12+Assumptions!B17/B$4+Assumptions!B21/Assumptions!B22+Assumptions!B13+Assumptions!B14+Assumptions!B34*(1-Assumptions!B35))+Assumptions!B36-(($A10+Assumptions!B34)*(Assumptions!B28+Assumptions!B29)))/($A10+Assumptions!B34)</f>
        <v>0.265583333333333</v>
      </c>
      <c r="C10" s="31" t="n">
        <f aca="false">((($A10+Assumptions!B34)*(1-Assumptions!B25))-(Assumptions!B10+Assumptions!B11+Assumptions!B12+Assumptions!B17/C$4+Assumptions!B21/Assumptions!B22+Assumptions!B13+Assumptions!B14+Assumptions!B34*(1-Assumptions!B35))+Assumptions!B36-(($A10+Assumptions!B34)*(Assumptions!B28+Assumptions!B29)))/($A10+Assumptions!B34)</f>
        <v>0.380967948717949</v>
      </c>
      <c r="D10" s="31" t="n">
        <f aca="false">((($A10+Assumptions!B34)*(1-Assumptions!B25))-(Assumptions!B10+Assumptions!B11+Assumptions!B12+Assumptions!B17/D$4+Assumptions!B21/Assumptions!B22+Assumptions!B13+Assumptions!B14+Assumptions!B34*(1-Assumptions!B35))+Assumptions!B36-(($A10+Assumptions!B34)*(Assumptions!B28+Assumptions!B29)))/($A10+Assumptions!B34)</f>
        <v>0.430418498168498</v>
      </c>
      <c r="E10" s="31" t="n">
        <f aca="false">((($A10+Assumptions!B34)*(1-Assumptions!B25))-(Assumptions!B10+Assumptions!B11+Assumptions!B12+Assumptions!B17/E$4+Assumptions!B21/Assumptions!B22+Assumptions!B13+Assumptions!B14+Assumptions!B34*(1-Assumptions!B35))+Assumptions!B36-(($A10+Assumptions!B34)*(Assumptions!B28+Assumptions!B29)))/($A10+Assumptions!B34)</f>
        <v>0.457891025641026</v>
      </c>
      <c r="F10" s="31" t="n">
        <f aca="false">((($A10+Assumptions!B34)*(1-Assumptions!B25))-(Assumptions!B10+Assumptions!B11+Assumptions!B12+Assumptions!B17/F$4+Assumptions!B21/Assumptions!B22+Assumptions!B13+Assumptions!B14+Assumptions!B34*(1-Assumptions!B35))+Assumptions!B36-(($A10+Assumptions!B34)*(Assumptions!B28+Assumptions!B29)))/($A10+Assumptions!B34)</f>
        <v>0.46750641025641</v>
      </c>
      <c r="G10" s="31" t="n">
        <f aca="false">((($A10+Assumptions!B34)*(1-Assumptions!B25))-(Assumptions!B10+Assumptions!B11+Assumptions!B12+Assumptions!B17/G$4+Assumptions!B21/Assumptions!B22+Assumptions!B13+Assumptions!B14+Assumptions!B34*(1-Assumptions!B35))+Assumptions!B36-(($A10+Assumptions!B34)*(Assumptions!B28+Assumptions!B29)))/($A10+Assumptions!B34)</f>
        <v>0.481929487179487</v>
      </c>
      <c r="H10" s="31" t="n">
        <f aca="false">((($A10+Assumptions!B34)*(1-Assumptions!B25))-(Assumptions!B10+Assumptions!B11+Assumptions!B12+Assumptions!B17/H$4+Assumptions!B21/Assumptions!B22+Assumptions!B13+Assumptions!B14+Assumptions!B34*(1-Assumptions!B35))+Assumptions!B36-(($A10+Assumptions!B34)*(Assumptions!B28+Assumptions!B29)))/($A10+Assumptions!B34)</f>
        <v>0.496352564102564</v>
      </c>
    </row>
    <row r="11" customFormat="false" ht="15" hidden="false" customHeight="false" outlineLevel="0" collapsed="false">
      <c r="A11" s="30" t="n">
        <v>25000</v>
      </c>
      <c r="B11" s="31" t="n">
        <f aca="false">((($A11+Assumptions!B34)*(1-Assumptions!B25))-(Assumptions!B10+Assumptions!B11+Assumptions!B12+Assumptions!B17/B$4+Assumptions!B21/Assumptions!B22+Assumptions!B13+Assumptions!B14+Assumptions!B34*(1-Assumptions!B35))+Assumptions!B36-(($A11+Assumptions!B34)*(Assumptions!B28+Assumptions!B29)))/($A11+Assumptions!B34)</f>
        <v>0.345121447028424</v>
      </c>
      <c r="C11" s="31" t="n">
        <f aca="false">((($A11+Assumptions!B34)*(1-Assumptions!B25))-(Assumptions!B10+Assumptions!B11+Assumptions!B12+Assumptions!B17/C$4+Assumptions!B21/Assumptions!B22+Assumptions!B13+Assumptions!B14+Assumptions!B34*(1-Assumptions!B35))+Assumptions!B36-(($A11+Assumptions!B34)*(Assumptions!B28+Assumptions!B29)))/($A11+Assumptions!B34)</f>
        <v>0.438144702842377</v>
      </c>
      <c r="D11" s="31" t="n">
        <f aca="false">((($A11+Assumptions!B34)*(1-Assumptions!B25))-(Assumptions!B10+Assumptions!B11+Assumptions!B12+Assumptions!B17/D$4+Assumptions!B21/Assumptions!B22+Assumptions!B13+Assumptions!B14+Assumptions!B34*(1-Assumptions!B35))+Assumptions!B36-(($A11+Assumptions!B34)*(Assumptions!B28+Assumptions!B29)))/($A11+Assumptions!B34)</f>
        <v>0.478011812476929</v>
      </c>
      <c r="E11" s="31" t="n">
        <f aca="false">((($A11+Assumptions!B34)*(1-Assumptions!B25))-(Assumptions!B10+Assumptions!B11+Assumptions!B12+Assumptions!B17/E$4+Assumptions!B21/Assumptions!B22+Assumptions!B13+Assumptions!B14+Assumptions!B34*(1-Assumptions!B35))+Assumptions!B36-(($A11+Assumptions!B34)*(Assumptions!B28+Assumptions!B29)))/($A11+Assumptions!B34)</f>
        <v>0.500160206718346</v>
      </c>
      <c r="F11" s="31" t="n">
        <f aca="false">((($A11+Assumptions!B34)*(1-Assumptions!B25))-(Assumptions!B10+Assumptions!B11+Assumptions!B12+Assumptions!B17/F$4+Assumptions!B21/Assumptions!B22+Assumptions!B13+Assumptions!B14+Assumptions!B34*(1-Assumptions!B35))+Assumptions!B36-(($A11+Assumptions!B34)*(Assumptions!B28+Assumptions!B29)))/($A11+Assumptions!B34)</f>
        <v>0.507912144702842</v>
      </c>
      <c r="G11" s="31" t="n">
        <f aca="false">((($A11+Assumptions!B34)*(1-Assumptions!B25))-(Assumptions!B10+Assumptions!B11+Assumptions!B12+Assumptions!B17/G$4+Assumptions!B21/Assumptions!B22+Assumptions!B13+Assumptions!B14+Assumptions!B34*(1-Assumptions!B35))+Assumptions!B36-(($A11+Assumptions!B34)*(Assumptions!B28+Assumptions!B29)))/($A11+Assumptions!B34)</f>
        <v>0.519540051679587</v>
      </c>
      <c r="H11" s="31" t="n">
        <f aca="false">((($A11+Assumptions!B34)*(1-Assumptions!B25))-(Assumptions!B10+Assumptions!B11+Assumptions!B12+Assumptions!B17/H$4+Assumptions!B21/Assumptions!B22+Assumptions!B13+Assumptions!B14+Assumptions!B34*(1-Assumptions!B35))+Assumptions!B36-(($A11+Assumptions!B34)*(Assumptions!B28+Assumptions!B29)))/($A11+Assumptions!B34)</f>
        <v>0.531167958656331</v>
      </c>
    </row>
    <row r="14" customFormat="false" ht="15" hidden="false" customHeight="false" outlineLevel="0" collapsed="false">
      <c r="A14" s="33" t="s">
        <v>88</v>
      </c>
      <c r="B14" s="33"/>
      <c r="C14" s="33"/>
      <c r="D14" s="33"/>
      <c r="E14" s="33"/>
      <c r="F14" s="33"/>
      <c r="G14" s="33"/>
      <c r="H14" s="33"/>
    </row>
    <row r="15" customFormat="false" ht="15" hidden="false" customHeight="false" outlineLevel="0" collapsed="false">
      <c r="A15" s="5" t="s">
        <v>89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 t="s">
        <v>90</v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5" t="s">
        <v>91</v>
      </c>
      <c r="B17" s="5"/>
      <c r="C17" s="5"/>
      <c r="D17" s="5"/>
      <c r="E17" s="5"/>
      <c r="F17" s="5"/>
      <c r="G17" s="5"/>
      <c r="H17" s="5"/>
    </row>
  </sheetData>
  <mergeCells count="6">
    <mergeCell ref="A1:H1"/>
    <mergeCell ref="A2:H2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14" min="2" style="0" width="12"/>
  </cols>
  <sheetData>
    <row r="1" customFormat="false" ht="27.75" hidden="false" customHeight="true" outlineLevel="0" collapsed="false">
      <c r="A1" s="4" t="s">
        <v>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15" hidden="false" customHeight="false" outlineLevel="0" collapsed="false">
      <c r="B4" s="16" t="s">
        <v>94</v>
      </c>
      <c r="C4" s="16" t="s">
        <v>95</v>
      </c>
      <c r="D4" s="16" t="s">
        <v>96</v>
      </c>
      <c r="E4" s="16" t="s">
        <v>97</v>
      </c>
      <c r="F4" s="16" t="s">
        <v>98</v>
      </c>
      <c r="G4" s="16" t="s">
        <v>99</v>
      </c>
      <c r="H4" s="16" t="s">
        <v>100</v>
      </c>
      <c r="I4" s="16" t="s">
        <v>101</v>
      </c>
      <c r="J4" s="16" t="s">
        <v>102</v>
      </c>
      <c r="K4" s="16" t="s">
        <v>103</v>
      </c>
      <c r="L4" s="16" t="s">
        <v>104</v>
      </c>
      <c r="M4" s="16" t="s">
        <v>105</v>
      </c>
      <c r="N4" s="16" t="s">
        <v>106</v>
      </c>
    </row>
    <row r="5" customFormat="false" ht="15" hidden="false" customHeight="false" outlineLevel="0" collapsed="false">
      <c r="A5" s="7" t="s">
        <v>107</v>
      </c>
      <c r="B5" s="11" t="n">
        <v>10</v>
      </c>
      <c r="C5" s="11" t="n">
        <v>15</v>
      </c>
      <c r="D5" s="11" t="n">
        <v>25</v>
      </c>
      <c r="E5" s="11" t="n">
        <v>35</v>
      </c>
      <c r="F5" s="11" t="n">
        <v>50</v>
      </c>
      <c r="G5" s="11" t="n">
        <v>60</v>
      </c>
      <c r="H5" s="11" t="n">
        <v>70</v>
      </c>
      <c r="I5" s="11" t="n">
        <v>80</v>
      </c>
      <c r="J5" s="11" t="n">
        <v>90</v>
      </c>
      <c r="K5" s="11" t="n">
        <v>95</v>
      </c>
      <c r="L5" s="11" t="n">
        <v>100</v>
      </c>
      <c r="M5" s="11" t="n">
        <v>100</v>
      </c>
      <c r="N5" s="34" t="n">
        <f aca="false">SUM(B5:M5)</f>
        <v>730</v>
      </c>
    </row>
    <row r="6" customFormat="false" ht="15" hidden="false" customHeight="false" outlineLevel="0" collapsed="false">
      <c r="A6" s="7" t="s">
        <v>108</v>
      </c>
      <c r="B6" s="35" t="n">
        <f aca="false">Assumptions!B33</f>
        <v>0.03</v>
      </c>
      <c r="C6" s="35" t="n">
        <f aca="false">Assumptions!B33</f>
        <v>0.03</v>
      </c>
      <c r="D6" s="35" t="n">
        <f aca="false">Assumptions!B33</f>
        <v>0.03</v>
      </c>
      <c r="E6" s="35" t="n">
        <f aca="false">Assumptions!B33</f>
        <v>0.03</v>
      </c>
      <c r="F6" s="35" t="n">
        <f aca="false">Assumptions!B33</f>
        <v>0.03</v>
      </c>
      <c r="G6" s="35" t="n">
        <f aca="false">Assumptions!B33</f>
        <v>0.03</v>
      </c>
      <c r="H6" s="35" t="n">
        <f aca="false">Assumptions!B33</f>
        <v>0.03</v>
      </c>
      <c r="I6" s="35" t="n">
        <f aca="false">Assumptions!B33</f>
        <v>0.03</v>
      </c>
      <c r="J6" s="35" t="n">
        <f aca="false">Assumptions!B33</f>
        <v>0.03</v>
      </c>
      <c r="K6" s="35" t="n">
        <f aca="false">Assumptions!B33</f>
        <v>0.03</v>
      </c>
      <c r="L6" s="35" t="n">
        <f aca="false">Assumptions!B33</f>
        <v>0.03</v>
      </c>
      <c r="M6" s="35" t="n">
        <f aca="false">Assumptions!B33</f>
        <v>0.03</v>
      </c>
    </row>
    <row r="7" customFormat="false" ht="15" hidden="false" customHeight="false" outlineLevel="0" collapsed="false">
      <c r="A7" s="21" t="s">
        <v>109</v>
      </c>
      <c r="B7" s="34" t="n">
        <f aca="false">B5</f>
        <v>10</v>
      </c>
      <c r="C7" s="34" t="n">
        <f aca="false">B7*(1-C6)+C5</f>
        <v>24.7</v>
      </c>
      <c r="D7" s="34" t="n">
        <f aca="false">C7*(1-D6)+D5</f>
        <v>48.959</v>
      </c>
      <c r="E7" s="34" t="n">
        <f aca="false">D7*(1-E6)+E5</f>
        <v>82.49023</v>
      </c>
      <c r="F7" s="34" t="n">
        <f aca="false">E7*(1-F6)+F5</f>
        <v>130.0155231</v>
      </c>
      <c r="G7" s="34" t="n">
        <f aca="false">F7*(1-G6)+G5</f>
        <v>186.115057407</v>
      </c>
      <c r="H7" s="34" t="n">
        <f aca="false">G7*(1-H6)+H5</f>
        <v>250.53160568479</v>
      </c>
      <c r="I7" s="34" t="n">
        <f aca="false">H7*(1-I6)+I5</f>
        <v>323.015657514246</v>
      </c>
      <c r="J7" s="34" t="n">
        <f aca="false">I7*(1-J6)+J5</f>
        <v>403.325187788819</v>
      </c>
      <c r="K7" s="34" t="n">
        <f aca="false">J7*(1-K6)+K5</f>
        <v>486.225432155154</v>
      </c>
      <c r="L7" s="34" t="n">
        <f aca="false">K7*(1-L6)+L5</f>
        <v>571.6386691905</v>
      </c>
      <c r="M7" s="34" t="n">
        <f aca="false">L7*(1-M6)+M5</f>
        <v>654.489509114785</v>
      </c>
    </row>
    <row r="8" customFormat="false" ht="15" hidden="false" customHeight="false" outlineLevel="0" collapsed="false">
      <c r="A8" s="7" t="s">
        <v>110</v>
      </c>
      <c r="B8" s="36" t="n">
        <f aca="false">B7/2</f>
        <v>5</v>
      </c>
      <c r="C8" s="36" t="n">
        <f aca="false">(B7+C7)/2</f>
        <v>17.35</v>
      </c>
      <c r="D8" s="36" t="n">
        <f aca="false">(C7+D7)/2</f>
        <v>36.8295</v>
      </c>
      <c r="E8" s="36" t="n">
        <f aca="false">(D7+E7)/2</f>
        <v>65.724615</v>
      </c>
      <c r="F8" s="36" t="n">
        <f aca="false">(E7+F7)/2</f>
        <v>106.25287655</v>
      </c>
      <c r="G8" s="36" t="n">
        <f aca="false">(F7+G7)/2</f>
        <v>158.0652902535</v>
      </c>
      <c r="H8" s="36" t="n">
        <f aca="false">(G7+H7)/2</f>
        <v>218.323331545895</v>
      </c>
      <c r="I8" s="36" t="n">
        <f aca="false">(H7+I7)/2</f>
        <v>286.773631599518</v>
      </c>
      <c r="J8" s="36" t="n">
        <f aca="false">(I7+J7)/2</f>
        <v>363.170422651533</v>
      </c>
      <c r="K8" s="36" t="n">
        <f aca="false">(J7+K7)/2</f>
        <v>444.775309971987</v>
      </c>
      <c r="L8" s="36" t="n">
        <f aca="false">(K7+L7)/2</f>
        <v>528.932050672827</v>
      </c>
      <c r="M8" s="36" t="n">
        <f aca="false">(L7+M7)/2</f>
        <v>613.064089152642</v>
      </c>
    </row>
    <row r="10" customFormat="false" ht="15" hidden="false" customHeight="false" outlineLevel="0" collapsed="false">
      <c r="A10" s="17" t="s">
        <v>54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customFormat="false" ht="15" hidden="false" customHeight="false" outlineLevel="0" collapsed="false">
      <c r="A11" s="7" t="s">
        <v>111</v>
      </c>
      <c r="B11" s="18" t="n">
        <f aca="false">B8*Assumptions!B6</f>
        <v>75000</v>
      </c>
      <c r="C11" s="18" t="n">
        <f aca="false">C8*Assumptions!B6</f>
        <v>260250</v>
      </c>
      <c r="D11" s="18" t="n">
        <f aca="false">D8*Assumptions!B6</f>
        <v>552442.5</v>
      </c>
      <c r="E11" s="18" t="n">
        <f aca="false">E8*Assumptions!B6</f>
        <v>985869.225</v>
      </c>
      <c r="F11" s="18" t="n">
        <f aca="false">F8*Assumptions!B6</f>
        <v>1593793.14825</v>
      </c>
      <c r="G11" s="18" t="n">
        <f aca="false">G8*Assumptions!B6</f>
        <v>2370979.3538025</v>
      </c>
      <c r="H11" s="18" t="n">
        <f aca="false">H8*Assumptions!B6</f>
        <v>3274849.97318842</v>
      </c>
      <c r="I11" s="18" t="n">
        <f aca="false">I8*Assumptions!B6</f>
        <v>4301604.47399277</v>
      </c>
      <c r="J11" s="18" t="n">
        <f aca="false">J8*Assumptions!B6</f>
        <v>5447556.33977299</v>
      </c>
      <c r="K11" s="18" t="n">
        <f aca="false">K8*Assumptions!B6</f>
        <v>6671629.6495798</v>
      </c>
      <c r="L11" s="18" t="n">
        <f aca="false">L8*Assumptions!B6</f>
        <v>7933980.76009241</v>
      </c>
      <c r="M11" s="18" t="n">
        <f aca="false">M8*Assumptions!B6</f>
        <v>9195961.33728963</v>
      </c>
      <c r="N11" s="22" t="n">
        <f aca="false">SUM(B11:M11)</f>
        <v>42663916.7609685</v>
      </c>
    </row>
    <row r="12" customFormat="false" ht="15" hidden="false" customHeight="false" outlineLevel="0" collapsed="false">
      <c r="A12" s="7" t="s">
        <v>112</v>
      </c>
      <c r="B12" s="18" t="n">
        <f aca="false">B8*Assumptions!B34</f>
        <v>4000</v>
      </c>
      <c r="C12" s="18" t="n">
        <f aca="false">C8*Assumptions!B34</f>
        <v>13880</v>
      </c>
      <c r="D12" s="18" t="n">
        <f aca="false">D8*Assumptions!B34</f>
        <v>29463.6</v>
      </c>
      <c r="E12" s="18" t="n">
        <f aca="false">E8*Assumptions!B34</f>
        <v>52579.692</v>
      </c>
      <c r="F12" s="18" t="n">
        <f aca="false">F8*Assumptions!B34</f>
        <v>85002.30124</v>
      </c>
      <c r="G12" s="18" t="n">
        <f aca="false">G8*Assumptions!B34</f>
        <v>126452.2322028</v>
      </c>
      <c r="H12" s="18" t="n">
        <f aca="false">H8*Assumptions!B34</f>
        <v>174658.665236716</v>
      </c>
      <c r="I12" s="18" t="n">
        <f aca="false">I8*Assumptions!B34</f>
        <v>229418.905279615</v>
      </c>
      <c r="J12" s="18" t="n">
        <f aca="false">J8*Assumptions!B34</f>
        <v>290536.338121226</v>
      </c>
      <c r="K12" s="18" t="n">
        <f aca="false">K8*Assumptions!B34</f>
        <v>355820.247977589</v>
      </c>
      <c r="L12" s="18" t="n">
        <f aca="false">L8*Assumptions!B34</f>
        <v>423145.640538262</v>
      </c>
      <c r="M12" s="18" t="n">
        <f aca="false">M8*Assumptions!B34</f>
        <v>490451.271322114</v>
      </c>
      <c r="N12" s="22" t="n">
        <f aca="false">SUM(B12:M12)</f>
        <v>2275408.89391832</v>
      </c>
    </row>
    <row r="13" customFormat="false" ht="15" hidden="false" customHeight="false" outlineLevel="0" collapsed="false">
      <c r="A13" s="19" t="s">
        <v>57</v>
      </c>
      <c r="B13" s="20" t="n">
        <f aca="false">B11+B12</f>
        <v>79000</v>
      </c>
      <c r="C13" s="20" t="n">
        <f aca="false">C11+C12</f>
        <v>274130</v>
      </c>
      <c r="D13" s="20" t="n">
        <f aca="false">D11+D12</f>
        <v>581906.1</v>
      </c>
      <c r="E13" s="20" t="n">
        <f aca="false">E11+E12</f>
        <v>1038448.917</v>
      </c>
      <c r="F13" s="20" t="n">
        <f aca="false">F11+F12</f>
        <v>1678795.44949</v>
      </c>
      <c r="G13" s="20" t="n">
        <f aca="false">G11+G12</f>
        <v>2497431.5860053</v>
      </c>
      <c r="H13" s="20" t="n">
        <f aca="false">H11+H12</f>
        <v>3449508.63842514</v>
      </c>
      <c r="I13" s="20" t="n">
        <f aca="false">I11+I12</f>
        <v>4531023.37927239</v>
      </c>
      <c r="J13" s="20" t="n">
        <f aca="false">J11+J12</f>
        <v>5738092.67789422</v>
      </c>
      <c r="K13" s="20" t="n">
        <f aca="false">K11+K12</f>
        <v>7027449.89755739</v>
      </c>
      <c r="L13" s="20" t="n">
        <f aca="false">L11+L12</f>
        <v>8357126.40063067</v>
      </c>
      <c r="M13" s="20" t="n">
        <f aca="false">M11+M12</f>
        <v>9686412.60861175</v>
      </c>
      <c r="N13" s="20" t="n">
        <f aca="false">SUM(B13:M13)</f>
        <v>44939325.6548868</v>
      </c>
    </row>
    <row r="14" customFormat="false" ht="15" hidden="false" customHeight="false" outlineLevel="0" collapsed="false">
      <c r="A14" s="7" t="s">
        <v>113</v>
      </c>
      <c r="B14" s="18" t="n">
        <f aca="false">-B13*Assumptions!B25</f>
        <v>-1896</v>
      </c>
      <c r="C14" s="18" t="n">
        <f aca="false">-C13*Assumptions!B25</f>
        <v>-6579.12</v>
      </c>
      <c r="D14" s="18" t="n">
        <f aca="false">-D13*Assumptions!B25</f>
        <v>-13965.7464</v>
      </c>
      <c r="E14" s="18" t="n">
        <f aca="false">-E13*Assumptions!B25</f>
        <v>-24922.774008</v>
      </c>
      <c r="F14" s="18" t="n">
        <f aca="false">-F13*Assumptions!B25</f>
        <v>-40291.09078776</v>
      </c>
      <c r="G14" s="18" t="n">
        <f aca="false">-G13*Assumptions!B25</f>
        <v>-59938.3580641272</v>
      </c>
      <c r="H14" s="18" t="n">
        <f aca="false">-H13*Assumptions!B25</f>
        <v>-82788.2073222034</v>
      </c>
      <c r="I14" s="18" t="n">
        <f aca="false">-I13*Assumptions!B25</f>
        <v>-108744.561102537</v>
      </c>
      <c r="J14" s="18" t="n">
        <f aca="false">-J13*Assumptions!B25</f>
        <v>-137714.224269461</v>
      </c>
      <c r="K14" s="18" t="n">
        <f aca="false">-K13*Assumptions!B25</f>
        <v>-168658.797541377</v>
      </c>
      <c r="L14" s="18" t="n">
        <f aca="false">-L13*Assumptions!B25</f>
        <v>-200571.033615136</v>
      </c>
      <c r="M14" s="18" t="n">
        <f aca="false">-M13*Assumptions!B25</f>
        <v>-232473.902606682</v>
      </c>
      <c r="N14" s="22" t="n">
        <f aca="false">SUM(B14:M14)</f>
        <v>-1078543.81571728</v>
      </c>
    </row>
    <row r="15" customFormat="false" ht="15" hidden="false" customHeight="false" outlineLevel="0" collapsed="false">
      <c r="A15" s="21" t="s">
        <v>59</v>
      </c>
      <c r="B15" s="22" t="n">
        <f aca="false">B13+B14</f>
        <v>77104</v>
      </c>
      <c r="C15" s="22" t="n">
        <f aca="false">C13+C14</f>
        <v>267550.88</v>
      </c>
      <c r="D15" s="22" t="n">
        <f aca="false">D13+D14</f>
        <v>567940.3536</v>
      </c>
      <c r="E15" s="22" t="n">
        <f aca="false">E13+E14</f>
        <v>1013526.142992</v>
      </c>
      <c r="F15" s="22" t="n">
        <f aca="false">F13+F14</f>
        <v>1638504.35870224</v>
      </c>
      <c r="G15" s="22" t="n">
        <f aca="false">G13+G14</f>
        <v>2437493.22794117</v>
      </c>
      <c r="H15" s="22" t="n">
        <f aca="false">H13+H14</f>
        <v>3366720.43110294</v>
      </c>
      <c r="I15" s="22" t="n">
        <f aca="false">I13+I14</f>
        <v>4422278.81816985</v>
      </c>
      <c r="J15" s="22" t="n">
        <f aca="false">J13+J14</f>
        <v>5600378.45362475</v>
      </c>
      <c r="K15" s="22" t="n">
        <f aca="false">K13+K14</f>
        <v>6858791.10001601</v>
      </c>
      <c r="L15" s="22" t="n">
        <f aca="false">L13+L14</f>
        <v>8156555.36701553</v>
      </c>
      <c r="M15" s="22" t="n">
        <f aca="false">M13+M14</f>
        <v>9453938.70600507</v>
      </c>
      <c r="N15" s="22" t="n">
        <f aca="false">SUM(B15:M15)</f>
        <v>43860781.8391696</v>
      </c>
    </row>
    <row r="17" customFormat="false" ht="15" hidden="false" customHeight="false" outlineLevel="0" collapsed="false">
      <c r="A17" s="17" t="s">
        <v>114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7" t="s">
        <v>61</v>
      </c>
      <c r="B18" s="18" t="n">
        <f aca="false">-B8*Assumptions!B10</f>
        <v>-9000</v>
      </c>
      <c r="C18" s="18" t="n">
        <f aca="false">-C8*Assumptions!B10</f>
        <v>-31230</v>
      </c>
      <c r="D18" s="18" t="n">
        <f aca="false">-D8*Assumptions!B10</f>
        <v>-66293.1</v>
      </c>
      <c r="E18" s="18" t="n">
        <f aca="false">-E8*Assumptions!B10</f>
        <v>-118304.307</v>
      </c>
      <c r="F18" s="18" t="n">
        <f aca="false">-F8*Assumptions!B10</f>
        <v>-191255.17779</v>
      </c>
      <c r="G18" s="18" t="n">
        <f aca="false">-G8*Assumptions!B10</f>
        <v>-284517.5224563</v>
      </c>
      <c r="H18" s="18" t="n">
        <f aca="false">-H8*Assumptions!B10</f>
        <v>-392981.996782611</v>
      </c>
      <c r="I18" s="18" t="n">
        <f aca="false">-I8*Assumptions!B10</f>
        <v>-516192.536879133</v>
      </c>
      <c r="J18" s="18" t="n">
        <f aca="false">-J8*Assumptions!B10</f>
        <v>-653706.760772759</v>
      </c>
      <c r="K18" s="18" t="n">
        <f aca="false">-K8*Assumptions!B10</f>
        <v>-800595.557949576</v>
      </c>
      <c r="L18" s="18" t="n">
        <f aca="false">-L8*Assumptions!B10</f>
        <v>-952077.691211089</v>
      </c>
      <c r="M18" s="18" t="n">
        <f aca="false">-M8*Assumptions!B10</f>
        <v>-1103515.36047476</v>
      </c>
      <c r="N18" s="22" t="n">
        <f aca="false">SUM(B18:M18)</f>
        <v>-5119670.01131622</v>
      </c>
    </row>
    <row r="19" customFormat="false" ht="15" hidden="false" customHeight="false" outlineLevel="0" collapsed="false">
      <c r="A19" s="7" t="s">
        <v>115</v>
      </c>
      <c r="B19" s="18" t="n">
        <f aca="false">-B8*Assumptions!B11</f>
        <v>-600</v>
      </c>
      <c r="C19" s="18" t="n">
        <f aca="false">-C8*Assumptions!B11</f>
        <v>-2082</v>
      </c>
      <c r="D19" s="18" t="n">
        <f aca="false">-D8*Assumptions!B11</f>
        <v>-4419.54</v>
      </c>
      <c r="E19" s="18" t="n">
        <f aca="false">-E8*Assumptions!B11</f>
        <v>-7886.9538</v>
      </c>
      <c r="F19" s="18" t="n">
        <f aca="false">-F8*Assumptions!B11</f>
        <v>-12750.345186</v>
      </c>
      <c r="G19" s="18" t="n">
        <f aca="false">-G8*Assumptions!B11</f>
        <v>-18967.83483042</v>
      </c>
      <c r="H19" s="18" t="n">
        <f aca="false">-H8*Assumptions!B11</f>
        <v>-26198.7997855074</v>
      </c>
      <c r="I19" s="18" t="n">
        <f aca="false">-I8*Assumptions!B11</f>
        <v>-34412.8357919422</v>
      </c>
      <c r="J19" s="18" t="n">
        <f aca="false">-J8*Assumptions!B11</f>
        <v>-43580.4507181839</v>
      </c>
      <c r="K19" s="18" t="n">
        <f aca="false">-K8*Assumptions!B11</f>
        <v>-53373.0371966384</v>
      </c>
      <c r="L19" s="18" t="n">
        <f aca="false">-L8*Assumptions!B11</f>
        <v>-63471.8460807392</v>
      </c>
      <c r="M19" s="18" t="n">
        <f aca="false">-M8*Assumptions!B11</f>
        <v>-73567.6906983171</v>
      </c>
      <c r="N19" s="22" t="n">
        <f aca="false">SUM(B19:M19)</f>
        <v>-341311.334087748</v>
      </c>
    </row>
    <row r="20" customFormat="false" ht="15" hidden="false" customHeight="false" outlineLevel="0" collapsed="false">
      <c r="A20" s="7" t="s">
        <v>116</v>
      </c>
      <c r="B20" s="18" t="n">
        <f aca="false">-B8*Assumptions!B12</f>
        <v>-350</v>
      </c>
      <c r="C20" s="18" t="n">
        <f aca="false">-C8*Assumptions!B12</f>
        <v>-1214.5</v>
      </c>
      <c r="D20" s="18" t="n">
        <f aca="false">-D8*Assumptions!B12</f>
        <v>-2578.065</v>
      </c>
      <c r="E20" s="18" t="n">
        <f aca="false">-E8*Assumptions!B12</f>
        <v>-4600.72305</v>
      </c>
      <c r="F20" s="18" t="n">
        <f aca="false">-F8*Assumptions!B12</f>
        <v>-7437.7013585</v>
      </c>
      <c r="G20" s="18" t="n">
        <f aca="false">-G8*Assumptions!B12</f>
        <v>-11064.570317745</v>
      </c>
      <c r="H20" s="18" t="n">
        <f aca="false">-H8*Assumptions!B12</f>
        <v>-15282.6332082126</v>
      </c>
      <c r="I20" s="18" t="n">
        <f aca="false">-I8*Assumptions!B12</f>
        <v>-20074.1542119663</v>
      </c>
      <c r="J20" s="18" t="n">
        <f aca="false">-J8*Assumptions!B12</f>
        <v>-25421.9295856073</v>
      </c>
      <c r="K20" s="18" t="n">
        <f aca="false">-K8*Assumptions!B12</f>
        <v>-31134.2716980391</v>
      </c>
      <c r="L20" s="18" t="n">
        <f aca="false">-L8*Assumptions!B12</f>
        <v>-37025.2435470979</v>
      </c>
      <c r="M20" s="18" t="n">
        <f aca="false">-M8*Assumptions!B12</f>
        <v>-42914.4862406849</v>
      </c>
      <c r="N20" s="22" t="n">
        <f aca="false">SUM(B20:M20)</f>
        <v>-199098.278217853</v>
      </c>
    </row>
    <row r="21" customFormat="false" ht="15" hidden="false" customHeight="false" outlineLevel="0" collapsed="false">
      <c r="A21" s="7" t="s">
        <v>117</v>
      </c>
      <c r="B21" s="18" t="n">
        <f aca="false">-B8*Assumptions!B13</f>
        <v>-750</v>
      </c>
      <c r="C21" s="18" t="n">
        <f aca="false">-C8*Assumptions!B13</f>
        <v>-2602.5</v>
      </c>
      <c r="D21" s="18" t="n">
        <f aca="false">-D8*Assumptions!B13</f>
        <v>-5524.425</v>
      </c>
      <c r="E21" s="18" t="n">
        <f aca="false">-E8*Assumptions!B13</f>
        <v>-9858.69225</v>
      </c>
      <c r="F21" s="18" t="n">
        <f aca="false">-F8*Assumptions!B13</f>
        <v>-15937.9314825</v>
      </c>
      <c r="G21" s="18" t="n">
        <f aca="false">-G8*Assumptions!B13</f>
        <v>-23709.793538025</v>
      </c>
      <c r="H21" s="18" t="n">
        <f aca="false">-H8*Assumptions!B13</f>
        <v>-32748.4997318842</v>
      </c>
      <c r="I21" s="18" t="n">
        <f aca="false">-I8*Assumptions!B13</f>
        <v>-43016.0447399277</v>
      </c>
      <c r="J21" s="18" t="n">
        <f aca="false">-J8*Assumptions!B13</f>
        <v>-54475.5633977299</v>
      </c>
      <c r="K21" s="18" t="n">
        <f aca="false">-K8*Assumptions!B13</f>
        <v>-66716.296495798</v>
      </c>
      <c r="L21" s="18" t="n">
        <f aca="false">-L8*Assumptions!B13</f>
        <v>-79339.8076009241</v>
      </c>
      <c r="M21" s="18" t="n">
        <f aca="false">-M8*Assumptions!B13</f>
        <v>-91959.6133728963</v>
      </c>
      <c r="N21" s="22" t="n">
        <f aca="false">SUM(B21:M21)</f>
        <v>-426639.167609685</v>
      </c>
    </row>
    <row r="22" customFormat="false" ht="15" hidden="false" customHeight="false" outlineLevel="0" collapsed="false">
      <c r="A22" s="7" t="s">
        <v>67</v>
      </c>
      <c r="B22" s="18" t="n">
        <f aca="false">-B8*Assumptions!B14</f>
        <v>-750</v>
      </c>
      <c r="C22" s="18" t="n">
        <f aca="false">-C8*Assumptions!B14</f>
        <v>-2602.5</v>
      </c>
      <c r="D22" s="18" t="n">
        <f aca="false">-D8*Assumptions!B14</f>
        <v>-5524.425</v>
      </c>
      <c r="E22" s="18" t="n">
        <f aca="false">-E8*Assumptions!B14</f>
        <v>-9858.69225</v>
      </c>
      <c r="F22" s="18" t="n">
        <f aca="false">-F8*Assumptions!B14</f>
        <v>-15937.9314825</v>
      </c>
      <c r="G22" s="18" t="n">
        <f aca="false">-G8*Assumptions!B14</f>
        <v>-23709.793538025</v>
      </c>
      <c r="H22" s="18" t="n">
        <f aca="false">-H8*Assumptions!B14</f>
        <v>-32748.4997318842</v>
      </c>
      <c r="I22" s="18" t="n">
        <f aca="false">-I8*Assumptions!B14</f>
        <v>-43016.0447399277</v>
      </c>
      <c r="J22" s="18" t="n">
        <f aca="false">-J8*Assumptions!B14</f>
        <v>-54475.5633977299</v>
      </c>
      <c r="K22" s="18" t="n">
        <f aca="false">-K8*Assumptions!B14</f>
        <v>-66716.296495798</v>
      </c>
      <c r="L22" s="18" t="n">
        <f aca="false">-L8*Assumptions!B14</f>
        <v>-79339.8076009241</v>
      </c>
      <c r="M22" s="18" t="n">
        <f aca="false">-M8*Assumptions!B14</f>
        <v>-91959.6133728963</v>
      </c>
      <c r="N22" s="22" t="n">
        <f aca="false">SUM(B22:M22)</f>
        <v>-426639.167609685</v>
      </c>
    </row>
    <row r="23" customFormat="false" ht="15" hidden="false" customHeight="false" outlineLevel="0" collapsed="false">
      <c r="A23" s="7" t="s">
        <v>68</v>
      </c>
      <c r="B23" s="18" t="n">
        <f aca="false">-B8*Assumptions!B34*(1-Assumptions!B35)</f>
        <v>-2400</v>
      </c>
      <c r="C23" s="18" t="n">
        <f aca="false">-C8*Assumptions!B34*(1-Assumptions!B35)</f>
        <v>-8328</v>
      </c>
      <c r="D23" s="18" t="n">
        <f aca="false">-D8*Assumptions!B34*(1-Assumptions!B35)</f>
        <v>-17678.16</v>
      </c>
      <c r="E23" s="18" t="n">
        <f aca="false">-E8*Assumptions!B34*(1-Assumptions!B35)</f>
        <v>-31547.8152</v>
      </c>
      <c r="F23" s="18" t="n">
        <f aca="false">-F8*Assumptions!B34*(1-Assumptions!B35)</f>
        <v>-51001.380744</v>
      </c>
      <c r="G23" s="18" t="n">
        <f aca="false">-G8*Assumptions!B34*(1-Assumptions!B35)</f>
        <v>-75871.33932168</v>
      </c>
      <c r="H23" s="18" t="n">
        <f aca="false">-H8*Assumptions!B34*(1-Assumptions!B35)</f>
        <v>-104795.19914203</v>
      </c>
      <c r="I23" s="18" t="n">
        <f aca="false">-I8*Assumptions!B34*(1-Assumptions!B35)</f>
        <v>-137651.343167769</v>
      </c>
      <c r="J23" s="18" t="n">
        <f aca="false">-J8*Assumptions!B34*(1-Assumptions!B35)</f>
        <v>-174321.802872736</v>
      </c>
      <c r="K23" s="18" t="n">
        <f aca="false">-K8*Assumptions!B34*(1-Assumptions!B35)</f>
        <v>-213492.148786554</v>
      </c>
      <c r="L23" s="18" t="n">
        <f aca="false">-L8*Assumptions!B34*(1-Assumptions!B35)</f>
        <v>-253887.384322957</v>
      </c>
      <c r="M23" s="18" t="n">
        <f aca="false">-M8*Assumptions!B34*(1-Assumptions!B35)</f>
        <v>-294270.762793268</v>
      </c>
      <c r="N23" s="22" t="n">
        <f aca="false">SUM(B23:M23)</f>
        <v>-1365245.33635099</v>
      </c>
    </row>
    <row r="24" customFormat="false" ht="15" hidden="false" customHeight="false" outlineLevel="0" collapsed="false">
      <c r="A24" s="17" t="s">
        <v>118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customFormat="false" ht="15" hidden="false" customHeight="false" outlineLevel="0" collapsed="false">
      <c r="A25" s="7" t="s">
        <v>119</v>
      </c>
      <c r="B25" s="36" t="n">
        <f aca="false">MAX(1,CEILING(B7/Assumptions!B18,1))</f>
        <v>1</v>
      </c>
      <c r="C25" s="36" t="n">
        <f aca="false">MAX(1,CEILING(C7/Assumptions!B18,1))</f>
        <v>1</v>
      </c>
      <c r="D25" s="36" t="n">
        <f aca="false">MAX(1,CEILING(D7/Assumptions!B18,1))</f>
        <v>1</v>
      </c>
      <c r="E25" s="36" t="n">
        <f aca="false">MAX(1,CEILING(E7/Assumptions!B18,1))</f>
        <v>1</v>
      </c>
      <c r="F25" s="36" t="n">
        <f aca="false">MAX(1,CEILING(F7/Assumptions!B18,1))</f>
        <v>2</v>
      </c>
      <c r="G25" s="36" t="n">
        <f aca="false">MAX(1,CEILING(G7/Assumptions!B18,1))</f>
        <v>2</v>
      </c>
      <c r="H25" s="36" t="n">
        <f aca="false">MAX(1,CEILING(H7/Assumptions!B18,1))</f>
        <v>3</v>
      </c>
      <c r="I25" s="36" t="n">
        <f aca="false">MAX(1,CEILING(I7/Assumptions!B18,1))</f>
        <v>4</v>
      </c>
      <c r="J25" s="36" t="n">
        <f aca="false">MAX(1,CEILING(J7/Assumptions!B18,1))</f>
        <v>5</v>
      </c>
      <c r="K25" s="36" t="n">
        <f aca="false">MAX(1,CEILING(K7/Assumptions!B18,1))</f>
        <v>5</v>
      </c>
      <c r="L25" s="36" t="n">
        <f aca="false">MAX(1,CEILING(L7/Assumptions!B18,1))</f>
        <v>6</v>
      </c>
      <c r="M25" s="36" t="n">
        <f aca="false">MAX(1,CEILING(M7/Assumptions!B18,1))</f>
        <v>7</v>
      </c>
      <c r="N25" s="34" t="n">
        <f aca="false">SUM(B25:M25)</f>
        <v>38</v>
      </c>
    </row>
    <row r="26" customFormat="false" ht="15" hidden="false" customHeight="false" outlineLevel="0" collapsed="false">
      <c r="A26" s="7" t="s">
        <v>120</v>
      </c>
      <c r="B26" s="18" t="n">
        <f aca="false">-B25*Assumptions!B17</f>
        <v>-180000</v>
      </c>
      <c r="C26" s="18" t="n">
        <f aca="false">-C25*Assumptions!B17</f>
        <v>-180000</v>
      </c>
      <c r="D26" s="18" t="n">
        <f aca="false">-D25*Assumptions!B17</f>
        <v>-180000</v>
      </c>
      <c r="E26" s="18" t="n">
        <f aca="false">-E25*Assumptions!B17</f>
        <v>-180000</v>
      </c>
      <c r="F26" s="18" t="n">
        <f aca="false">-F25*Assumptions!B17</f>
        <v>-360000</v>
      </c>
      <c r="G26" s="18" t="n">
        <f aca="false">-G25*Assumptions!B17</f>
        <v>-360000</v>
      </c>
      <c r="H26" s="18" t="n">
        <f aca="false">-H25*Assumptions!B17</f>
        <v>-540000</v>
      </c>
      <c r="I26" s="18" t="n">
        <f aca="false">-I25*Assumptions!B17</f>
        <v>-720000</v>
      </c>
      <c r="J26" s="18" t="n">
        <f aca="false">-J25*Assumptions!B17</f>
        <v>-900000</v>
      </c>
      <c r="K26" s="18" t="n">
        <f aca="false">-K25*Assumptions!B17</f>
        <v>-900000</v>
      </c>
      <c r="L26" s="18" t="n">
        <f aca="false">-L25*Assumptions!B17</f>
        <v>-1080000</v>
      </c>
      <c r="M26" s="18" t="n">
        <f aca="false">-M25*Assumptions!B17</f>
        <v>-1260000</v>
      </c>
      <c r="N26" s="22" t="n">
        <f aca="false">SUM(B26:M26)</f>
        <v>-6840000</v>
      </c>
    </row>
    <row r="27" customFormat="false" ht="15" hidden="false" customHeight="false" outlineLevel="0" collapsed="false">
      <c r="A27" s="7" t="s">
        <v>121</v>
      </c>
      <c r="B27" s="36" t="n">
        <f aca="false">MAX(1,CEILING(B7/Assumptions!B22,1))</f>
        <v>1</v>
      </c>
      <c r="C27" s="36" t="n">
        <f aca="false">MAX(1,CEILING(C7/Assumptions!B22,1))</f>
        <v>1</v>
      </c>
      <c r="D27" s="36" t="n">
        <f aca="false">MAX(1,CEILING(D7/Assumptions!B22,1))</f>
        <v>1</v>
      </c>
      <c r="E27" s="36" t="n">
        <f aca="false">MAX(1,CEILING(E7/Assumptions!B22,1))</f>
        <v>1</v>
      </c>
      <c r="F27" s="36" t="n">
        <f aca="false">MAX(1,CEILING(F7/Assumptions!B22,1))</f>
        <v>1</v>
      </c>
      <c r="G27" s="36" t="n">
        <f aca="false">MAX(1,CEILING(G7/Assumptions!B22,1))</f>
        <v>2</v>
      </c>
      <c r="H27" s="36" t="n">
        <f aca="false">MAX(1,CEILING(H7/Assumptions!B22,1))</f>
        <v>2</v>
      </c>
      <c r="I27" s="36" t="n">
        <f aca="false">MAX(1,CEILING(I7/Assumptions!B22,1))</f>
        <v>3</v>
      </c>
      <c r="J27" s="36" t="n">
        <f aca="false">MAX(1,CEILING(J7/Assumptions!B22,1))</f>
        <v>3</v>
      </c>
      <c r="K27" s="36" t="n">
        <f aca="false">MAX(1,CEILING(K7/Assumptions!B22,1))</f>
        <v>4</v>
      </c>
      <c r="L27" s="36" t="n">
        <f aca="false">MAX(1,CEILING(L7/Assumptions!B22,1))</f>
        <v>4</v>
      </c>
      <c r="M27" s="36" t="n">
        <f aca="false">MAX(1,CEILING(M7/Assumptions!B22,1))</f>
        <v>5</v>
      </c>
      <c r="N27" s="34" t="n">
        <f aca="false">SUM(B27:M27)</f>
        <v>28</v>
      </c>
    </row>
    <row r="28" customFormat="false" ht="15" hidden="false" customHeight="false" outlineLevel="0" collapsed="false">
      <c r="A28" s="7" t="s">
        <v>122</v>
      </c>
      <c r="B28" s="18" t="n">
        <f aca="false">-B27*Assumptions!B21</f>
        <v>-40000</v>
      </c>
      <c r="C28" s="18" t="n">
        <f aca="false">-C27*Assumptions!B21</f>
        <v>-40000</v>
      </c>
      <c r="D28" s="18" t="n">
        <f aca="false">-D27*Assumptions!B21</f>
        <v>-40000</v>
      </c>
      <c r="E28" s="18" t="n">
        <f aca="false">-E27*Assumptions!B21</f>
        <v>-40000</v>
      </c>
      <c r="F28" s="18" t="n">
        <f aca="false">-F27*Assumptions!B21</f>
        <v>-40000</v>
      </c>
      <c r="G28" s="18" t="n">
        <f aca="false">-G27*Assumptions!B21</f>
        <v>-80000</v>
      </c>
      <c r="H28" s="18" t="n">
        <f aca="false">-H27*Assumptions!B21</f>
        <v>-80000</v>
      </c>
      <c r="I28" s="18" t="n">
        <f aca="false">-I27*Assumptions!B21</f>
        <v>-120000</v>
      </c>
      <c r="J28" s="18" t="n">
        <f aca="false">-J27*Assumptions!B21</f>
        <v>-120000</v>
      </c>
      <c r="K28" s="18" t="n">
        <f aca="false">-K27*Assumptions!B21</f>
        <v>-160000</v>
      </c>
      <c r="L28" s="18" t="n">
        <f aca="false">-L27*Assumptions!B21</f>
        <v>-160000</v>
      </c>
      <c r="M28" s="18" t="n">
        <f aca="false">-M27*Assumptions!B21</f>
        <v>-200000</v>
      </c>
      <c r="N28" s="22" t="n">
        <f aca="false">SUM(B28:M28)</f>
        <v>-1120000</v>
      </c>
    </row>
    <row r="29" customFormat="false" ht="15" hidden="false" customHeight="false" outlineLevel="0" collapsed="false">
      <c r="A29" s="21" t="s">
        <v>69</v>
      </c>
      <c r="B29" s="22" t="n">
        <f aca="false">SUM(B18:B23)+B26+B28</f>
        <v>-233850</v>
      </c>
      <c r="C29" s="22" t="n">
        <f aca="false">SUM(C18:C23)+C26+C28</f>
        <v>-268059.5</v>
      </c>
      <c r="D29" s="22" t="n">
        <f aca="false">SUM(D18:D23)+D26+D28</f>
        <v>-322017.715</v>
      </c>
      <c r="E29" s="22" t="n">
        <f aca="false">SUM(E18:E23)+E26+E28</f>
        <v>-402057.18355</v>
      </c>
      <c r="F29" s="22" t="n">
        <f aca="false">SUM(F18:F23)+F26+F28</f>
        <v>-694320.4680435</v>
      </c>
      <c r="G29" s="22" t="n">
        <f aca="false">SUM(G18:G23)+G26+G28</f>
        <v>-877840.854002195</v>
      </c>
      <c r="H29" s="22" t="n">
        <f aca="false">SUM(H18:H23)+H26+H28</f>
        <v>-1224755.62838213</v>
      </c>
      <c r="I29" s="22" t="n">
        <f aca="false">SUM(I18:I23)+I26+I28</f>
        <v>-1634362.95953067</v>
      </c>
      <c r="J29" s="22" t="n">
        <f aca="false">SUM(J18:J23)+J26+J28</f>
        <v>-2025982.07074475</v>
      </c>
      <c r="K29" s="22" t="n">
        <f aca="false">SUM(K18:K23)+K26+K28</f>
        <v>-2292027.6086224</v>
      </c>
      <c r="L29" s="22" t="n">
        <f aca="false">SUM(L18:L23)+L26+L28</f>
        <v>-2705141.78036373</v>
      </c>
      <c r="M29" s="22" t="n">
        <f aca="false">SUM(M18:M23)+M26+M28</f>
        <v>-3158187.52695282</v>
      </c>
      <c r="N29" s="22" t="n">
        <f aca="false">SUM(B29:M29)</f>
        <v>-15838603.2951922</v>
      </c>
    </row>
    <row r="30" customFormat="false" ht="15" hidden="false" customHeight="false" outlineLevel="0" collapsed="false">
      <c r="A30" s="7" t="s">
        <v>70</v>
      </c>
      <c r="B30" s="18" t="n">
        <f aca="false">B8*Assumptions!B36</f>
        <v>2500</v>
      </c>
      <c r="C30" s="18" t="n">
        <f aca="false">C8*Assumptions!B36</f>
        <v>8675</v>
      </c>
      <c r="D30" s="18" t="n">
        <f aca="false">D8*Assumptions!B36</f>
        <v>18414.75</v>
      </c>
      <c r="E30" s="18" t="n">
        <f aca="false">E8*Assumptions!B36</f>
        <v>32862.3075</v>
      </c>
      <c r="F30" s="18" t="n">
        <f aca="false">F8*Assumptions!B36</f>
        <v>53126.438275</v>
      </c>
      <c r="G30" s="18" t="n">
        <f aca="false">G8*Assumptions!B36</f>
        <v>79032.64512675</v>
      </c>
      <c r="H30" s="18" t="n">
        <f aca="false">H8*Assumptions!B36</f>
        <v>109161.665772947</v>
      </c>
      <c r="I30" s="18" t="n">
        <f aca="false">I8*Assumptions!B36</f>
        <v>143386.815799759</v>
      </c>
      <c r="J30" s="18" t="n">
        <f aca="false">J8*Assumptions!B36</f>
        <v>181585.211325766</v>
      </c>
      <c r="K30" s="18" t="n">
        <f aca="false">K8*Assumptions!B36</f>
        <v>222387.654985993</v>
      </c>
      <c r="L30" s="18" t="n">
        <f aca="false">L8*Assumptions!B36</f>
        <v>264466.025336414</v>
      </c>
      <c r="M30" s="18" t="n">
        <f aca="false">M8*Assumptions!B36</f>
        <v>306532.044576321</v>
      </c>
      <c r="N30" s="22" t="n">
        <f aca="false">SUM(B30:M30)</f>
        <v>1422130.55869895</v>
      </c>
    </row>
    <row r="31" customFormat="false" ht="15" hidden="false" customHeight="false" outlineLevel="0" collapsed="false">
      <c r="A31" s="19" t="s">
        <v>71</v>
      </c>
      <c r="B31" s="20" t="n">
        <f aca="false">B15+B29+B30</f>
        <v>-154246</v>
      </c>
      <c r="C31" s="20" t="n">
        <f aca="false">C15+C29+C30</f>
        <v>8166.38000000006</v>
      </c>
      <c r="D31" s="20" t="n">
        <f aca="false">D15+D29+D30</f>
        <v>264337.3886</v>
      </c>
      <c r="E31" s="20" t="n">
        <f aca="false">E15+E29+E30</f>
        <v>644331.266942</v>
      </c>
      <c r="F31" s="20" t="n">
        <f aca="false">F15+F29+F30</f>
        <v>997310.32893374</v>
      </c>
      <c r="G31" s="20" t="n">
        <f aca="false">G15+G29+G30</f>
        <v>1638685.01906573</v>
      </c>
      <c r="H31" s="20" t="n">
        <f aca="false">H15+H29+H30</f>
        <v>2251126.46849376</v>
      </c>
      <c r="I31" s="20" t="n">
        <f aca="false">I15+I29+I30</f>
        <v>2931302.67443894</v>
      </c>
      <c r="J31" s="20" t="n">
        <f aca="false">J15+J29+J30</f>
        <v>3755981.59420578</v>
      </c>
      <c r="K31" s="20" t="n">
        <f aca="false">K15+K29+K30</f>
        <v>4789151.1463796</v>
      </c>
      <c r="L31" s="20" t="n">
        <f aca="false">L15+L29+L30</f>
        <v>5715879.61198821</v>
      </c>
      <c r="M31" s="20" t="n">
        <f aca="false">M15+M29+M30</f>
        <v>6602283.22362857</v>
      </c>
      <c r="N31" s="20" t="n">
        <f aca="false">SUM(B31:M31)</f>
        <v>29444309.1026763</v>
      </c>
    </row>
    <row r="32" customFormat="false" ht="15" hidden="false" customHeight="false" outlineLevel="0" collapsed="false">
      <c r="A32" s="21" t="s">
        <v>72</v>
      </c>
      <c r="B32" s="23" t="n">
        <f aca="false">IFERROR(B31/B13,0)</f>
        <v>-1.95248101265823</v>
      </c>
      <c r="C32" s="23" t="n">
        <f aca="false">IFERROR(C31/C13,0)</f>
        <v>0.0297901725458726</v>
      </c>
      <c r="D32" s="23" t="n">
        <f aca="false">IFERROR(D31/D13,0)</f>
        <v>0.454261243523654</v>
      </c>
      <c r="E32" s="23" t="n">
        <f aca="false">IFERROR(E31/E13,0)</f>
        <v>0.620474687193496</v>
      </c>
      <c r="F32" s="23" t="n">
        <f aca="false">IFERROR(F31/F13,0)</f>
        <v>0.594063040400016</v>
      </c>
      <c r="G32" s="23" t="n">
        <f aca="false">IFERROR(G31/G13,0)</f>
        <v>0.656148111623287</v>
      </c>
      <c r="H32" s="23" t="n">
        <f aca="false">IFERROR(H31/H13,0)</f>
        <v>0.652593370376802</v>
      </c>
      <c r="I32" s="23" t="n">
        <f aca="false">IFERROR(I31/I13,0)</f>
        <v>0.646940531767829</v>
      </c>
      <c r="J32" s="23" t="n">
        <f aca="false">IFERROR(J31/J13,0)</f>
        <v>0.654569698512461</v>
      </c>
      <c r="K32" s="23" t="n">
        <f aca="false">IFERROR(K31/K13,0)</f>
        <v>0.681492037110677</v>
      </c>
      <c r="L32" s="23" t="n">
        <f aca="false">IFERROR(L31/L13,0)</f>
        <v>0.683952753371885</v>
      </c>
      <c r="M32" s="23" t="n">
        <f aca="false">IFERROR(M31/M13,0)</f>
        <v>0.681602517918634</v>
      </c>
      <c r="N32" s="23" t="n">
        <f aca="false">SUM(B32:M32)</f>
        <v>4.40340715168639</v>
      </c>
    </row>
    <row r="34" customFormat="false" ht="15" hidden="false" customHeight="false" outlineLevel="0" collapsed="false">
      <c r="A34" s="17" t="s">
        <v>123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customFormat="false" ht="15" hidden="false" customHeight="false" outlineLevel="0" collapsed="false">
      <c r="A35" s="7" t="s">
        <v>74</v>
      </c>
      <c r="B35" s="18" t="n">
        <f aca="false">-B5*Assumptions!B32</f>
        <v>-120000</v>
      </c>
      <c r="C35" s="18" t="n">
        <f aca="false">-C5*Assumptions!B32</f>
        <v>-180000</v>
      </c>
      <c r="D35" s="18" t="n">
        <f aca="false">-D5*Assumptions!B32</f>
        <v>-300000</v>
      </c>
      <c r="E35" s="18" t="n">
        <f aca="false">-E5*Assumptions!B32</f>
        <v>-420000</v>
      </c>
      <c r="F35" s="18" t="n">
        <f aca="false">-F5*Assumptions!B32</f>
        <v>-600000</v>
      </c>
      <c r="G35" s="18" t="n">
        <f aca="false">-G5*Assumptions!B32</f>
        <v>-720000</v>
      </c>
      <c r="H35" s="18" t="n">
        <f aca="false">-H5*Assumptions!B32</f>
        <v>-840000</v>
      </c>
      <c r="I35" s="18" t="n">
        <f aca="false">-I5*Assumptions!B32</f>
        <v>-960000</v>
      </c>
      <c r="J35" s="18" t="n">
        <f aca="false">-J5*Assumptions!B32</f>
        <v>-1080000</v>
      </c>
      <c r="K35" s="18" t="n">
        <f aca="false">-K5*Assumptions!B32</f>
        <v>-1140000</v>
      </c>
      <c r="L35" s="18" t="n">
        <f aca="false">-L5*Assumptions!B32</f>
        <v>-1200000</v>
      </c>
      <c r="M35" s="18" t="n">
        <f aca="false">-M5*Assumptions!B32</f>
        <v>-1200000</v>
      </c>
      <c r="N35" s="22" t="n">
        <f aca="false">SUM(B35:M35)</f>
        <v>-8760000</v>
      </c>
    </row>
    <row r="36" customFormat="false" ht="15" hidden="false" customHeight="false" outlineLevel="0" collapsed="false">
      <c r="A36" s="7" t="s">
        <v>75</v>
      </c>
      <c r="B36" s="18" t="n">
        <f aca="false">-B13*Assumptions!B29</f>
        <v>-11850</v>
      </c>
      <c r="C36" s="18" t="n">
        <f aca="false">-C13*Assumptions!B29</f>
        <v>-41119.5</v>
      </c>
      <c r="D36" s="18" t="n">
        <f aca="false">-D13*Assumptions!B29</f>
        <v>-87285.915</v>
      </c>
      <c r="E36" s="18" t="n">
        <f aca="false">-E13*Assumptions!B29</f>
        <v>-155767.33755</v>
      </c>
      <c r="F36" s="18" t="n">
        <f aca="false">-F13*Assumptions!B29</f>
        <v>-251819.3174235</v>
      </c>
      <c r="G36" s="18" t="n">
        <f aca="false">-G13*Assumptions!B29</f>
        <v>-374614.737900795</v>
      </c>
      <c r="H36" s="18" t="n">
        <f aca="false">-H13*Assumptions!B29</f>
        <v>-517426.295763771</v>
      </c>
      <c r="I36" s="18" t="n">
        <f aca="false">-I13*Assumptions!B29</f>
        <v>-679653.506890858</v>
      </c>
      <c r="J36" s="18" t="n">
        <f aca="false">-J13*Assumptions!B29</f>
        <v>-860713.901684132</v>
      </c>
      <c r="K36" s="18" t="n">
        <f aca="false">-K13*Assumptions!B29</f>
        <v>-1054117.48463361</v>
      </c>
      <c r="L36" s="18" t="n">
        <f aca="false">-L13*Assumptions!B29</f>
        <v>-1253568.9600946</v>
      </c>
      <c r="M36" s="18" t="n">
        <f aca="false">-M13*Assumptions!B29</f>
        <v>-1452961.89129176</v>
      </c>
      <c r="N36" s="22" t="n">
        <f aca="false">SUM(B36:M36)</f>
        <v>-6740898.84823303</v>
      </c>
    </row>
    <row r="37" customFormat="false" ht="15" hidden="false" customHeight="false" outlineLevel="0" collapsed="false">
      <c r="A37" s="21" t="s">
        <v>76</v>
      </c>
      <c r="B37" s="22" t="n">
        <f aca="false">B35+B36</f>
        <v>-131850</v>
      </c>
      <c r="C37" s="22" t="n">
        <f aca="false">C35+C36</f>
        <v>-221119.5</v>
      </c>
      <c r="D37" s="22" t="n">
        <f aca="false">D35+D36</f>
        <v>-387285.915</v>
      </c>
      <c r="E37" s="22" t="n">
        <f aca="false">E35+E36</f>
        <v>-575767.33755</v>
      </c>
      <c r="F37" s="22" t="n">
        <f aca="false">F35+F36</f>
        <v>-851819.3174235</v>
      </c>
      <c r="G37" s="22" t="n">
        <f aca="false">G35+G36</f>
        <v>-1094614.7379008</v>
      </c>
      <c r="H37" s="22" t="n">
        <f aca="false">H35+H36</f>
        <v>-1357426.29576377</v>
      </c>
      <c r="I37" s="22" t="n">
        <f aca="false">I35+I36</f>
        <v>-1639653.50689086</v>
      </c>
      <c r="J37" s="22" t="n">
        <f aca="false">J35+J36</f>
        <v>-1940713.90168413</v>
      </c>
      <c r="K37" s="22" t="n">
        <f aca="false">K35+K36</f>
        <v>-2194117.48463361</v>
      </c>
      <c r="L37" s="22" t="n">
        <f aca="false">L35+L36</f>
        <v>-2453568.9600946</v>
      </c>
      <c r="M37" s="22" t="n">
        <f aca="false">M35+M36</f>
        <v>-2652961.89129176</v>
      </c>
      <c r="N37" s="22" t="n">
        <f aca="false">SUM(B37:M37)</f>
        <v>-15500898.848233</v>
      </c>
    </row>
    <row r="38" customFormat="false" ht="15" hidden="false" customHeight="false" outlineLevel="0" collapsed="false">
      <c r="A38" s="19" t="s">
        <v>77</v>
      </c>
      <c r="B38" s="20" t="n">
        <f aca="false">B31+B37</f>
        <v>-286096</v>
      </c>
      <c r="C38" s="20" t="n">
        <f aca="false">C31+C37</f>
        <v>-212953.12</v>
      </c>
      <c r="D38" s="20" t="n">
        <f aca="false">D31+D37</f>
        <v>-122948.5264</v>
      </c>
      <c r="E38" s="20" t="n">
        <f aca="false">E31+E37</f>
        <v>68563.9293919999</v>
      </c>
      <c r="F38" s="20" t="n">
        <f aca="false">F31+F37</f>
        <v>145491.01151024</v>
      </c>
      <c r="G38" s="20" t="n">
        <f aca="false">G31+G37</f>
        <v>544070.281164933</v>
      </c>
      <c r="H38" s="20" t="n">
        <f aca="false">H31+H37</f>
        <v>893700.172729984</v>
      </c>
      <c r="I38" s="20" t="n">
        <f aca="false">I31+I37</f>
        <v>1291649.16754809</v>
      </c>
      <c r="J38" s="20" t="n">
        <f aca="false">J31+J37</f>
        <v>1815267.69252164</v>
      </c>
      <c r="K38" s="20" t="n">
        <f aca="false">K31+K37</f>
        <v>2595033.66174599</v>
      </c>
      <c r="L38" s="20" t="n">
        <f aca="false">L31+L37</f>
        <v>3262310.65189361</v>
      </c>
      <c r="M38" s="20" t="n">
        <f aca="false">M31+M37</f>
        <v>3949321.33233681</v>
      </c>
      <c r="N38" s="20" t="n">
        <f aca="false">SUM(B38:M38)</f>
        <v>13943410.2544433</v>
      </c>
    </row>
    <row r="39" customFormat="false" ht="15" hidden="false" customHeight="false" outlineLevel="0" collapsed="false">
      <c r="A39" s="21" t="s">
        <v>78</v>
      </c>
      <c r="B39" s="23" t="n">
        <f aca="false">IFERROR(B38/B13,0)</f>
        <v>-3.62146835443038</v>
      </c>
      <c r="C39" s="23" t="n">
        <f aca="false">IFERROR(C38/C13,0)</f>
        <v>-0.776832597672637</v>
      </c>
      <c r="D39" s="23" t="n">
        <f aca="false">IFERROR(D38/D13,0)</f>
        <v>-0.211285852476886</v>
      </c>
      <c r="E39" s="23" t="n">
        <f aca="false">IFERROR(E38/E13,0)</f>
        <v>0.0660253270715288</v>
      </c>
      <c r="F39" s="23" t="n">
        <f aca="false">IFERROR(F38/F13,0)</f>
        <v>0.0866639301139627</v>
      </c>
      <c r="G39" s="23" t="n">
        <f aca="false">IFERROR(G38/G13,0)</f>
        <v>0.217851926040219</v>
      </c>
      <c r="H39" s="23" t="n">
        <f aca="false">IFERROR(H38/H13,0)</f>
        <v>0.259080427506336</v>
      </c>
      <c r="I39" s="23" t="n">
        <f aca="false">IFERROR(I38/I13,0)</f>
        <v>0.285067866446433</v>
      </c>
      <c r="J39" s="23" t="n">
        <f aca="false">IFERROR(J38/J13,0)</f>
        <v>0.316353846900189</v>
      </c>
      <c r="K39" s="23" t="n">
        <f aca="false">IFERROR(K38/K13,0)</f>
        <v>0.369271029971765</v>
      </c>
      <c r="L39" s="23" t="n">
        <f aca="false">IFERROR(L38/L13,0)</f>
        <v>0.390362727031079</v>
      </c>
      <c r="M39" s="23" t="n">
        <f aca="false">IFERROR(M38/M13,0)</f>
        <v>0.407717644489524</v>
      </c>
      <c r="N39" s="23" t="n">
        <f aca="false">SUM(B39:M39)</f>
        <v>-2.21119207900887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2026-04-15T19:48:53Z</dcterms:created>
  <dc:creator>openpyxl</dc:creator>
  <dc:description/>
  <dc:language>en-US</dc:language>
  <cp:lastModifiedBy/>
  <dcterms:modified xsi:type="dcterms:W3CDTF">2026-04-15T19:48:53Z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