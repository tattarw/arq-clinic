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OGS &amp; Margins" sheetId="1" state="visible" r:id="rId3"/>
    <sheet name="P&amp;L Projection" sheetId="2" state="visible" r:id="rId4"/>
    <sheet name="Assumptions &amp;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<sst xmlns="http://schemas.openxmlformats.org/spreadsheetml/2006/main" count="296" uniqueCount="270">
  <si>
    <t xml:space="preserve">arq.clinic — Product COGS &amp; Profitability Model</t>
  </si>
  <si>
    <t xml:space="preserve">Dear One Technologies Pvt Ltd  |  India Biohacker Clinic  |  All figures in INR  |  Blue = inputs you can change</t>
  </si>
  <si>
    <t xml:space="preserve">Product</t>
  </si>
  <si>
    <t xml:space="preserve">Category</t>
  </si>
  <si>
    <t xml:space="preserve">Arq Price
(₹/month)</t>
  </si>
  <si>
    <t xml:space="preserve">COGS
(₹/unit)</t>
  </si>
  <si>
    <t xml:space="preserve">Doctor Call
(₹/consult)</t>
  </si>
  <si>
    <t xml:space="preserve">Packaging
(₹/order)</t>
  </si>
  <si>
    <t xml:space="preserve">Shipping
(₹/order)</t>
  </si>
  <si>
    <t xml:space="preserve">Platform Fee
(₹/order)</t>
  </si>
  <si>
    <t xml:space="preserve">Total Variable
Cost (₹)</t>
  </si>
  <si>
    <t xml:space="preserve">Gross Profit
(₹)</t>
  </si>
  <si>
    <t xml:space="preserve">Gross
Margin %</t>
  </si>
  <si>
    <t xml:space="preserve">Est. Monthly
Subscribers</t>
  </si>
  <si>
    <t xml:space="preserve">Monthly
Revenue (₹)</t>
  </si>
  <si>
    <t xml:space="preserve">Monthly Gross
Profit (₹)</t>
  </si>
  <si>
    <t xml:space="preserve">Notes / Source</t>
  </si>
  <si>
    <t xml:space="preserve">  COGNITION</t>
  </si>
  <si>
    <t xml:space="preserve">Modafinil 200mg (30 tabs)</t>
  </si>
  <si>
    <t xml:space="preserve">Cognition</t>
  </si>
  <si>
    <t xml:space="preserve">Modalert/Modvigil ~₹6/tab wholesale. 30 tabs/month. Doctor: MBBS ₹350. High margin play.</t>
  </si>
  <si>
    <t xml:space="preserve">Armodafinil 150mg (30 tabs)</t>
  </si>
  <si>
    <t xml:space="preserve">Waklert/Artvigil ~₹7/tab wholesale. Premium over modafinil — biohackers pay up.</t>
  </si>
  <si>
    <t xml:space="preserve">NAD+ Oral (NMN 500mg, 30 caps)</t>
  </si>
  <si>
    <t xml:space="preserve">NMN wholesale ~₹26/cap. Doctor: MBBS. Lower margin but premium positioning.</t>
  </si>
  <si>
    <t xml:space="preserve">  PERFORMANCE</t>
  </si>
  <si>
    <t xml:space="preserve">Sildenafil 50mg (8 tabs)</t>
  </si>
  <si>
    <t xml:space="preserve">Performance</t>
  </si>
  <si>
    <t xml:space="preserve">Generic Silagra/Cenforce ~₹5/tab wholesale. 8 tabs = weekend supply. MBBS call.</t>
  </si>
  <si>
    <t xml:space="preserve">Tadalafil 20mg (4 tabs)</t>
  </si>
  <si>
    <t xml:space="preserve">Generic Tadacip ~₹15/tab. Daily low-dose option also. High repeat.</t>
  </si>
  <si>
    <t xml:space="preserve">PT-141 (Bremelanotide, 4 vials)</t>
  </si>
  <si>
    <t xml:space="preserve">Peptide. Wholesale ~₹150/vial. Specialist MBBS. Very high margin.</t>
  </si>
  <si>
    <t xml:space="preserve">Testosterone (TRT, gel/oral)</t>
  </si>
  <si>
    <t xml:space="preserve">Androgel/Cernos oral. Endocrinologist call. Blood test billed separately.</t>
  </si>
  <si>
    <t xml:space="preserve">  LONGEVITY</t>
  </si>
  <si>
    <t xml:space="preserve">Metformin 500mg (60 tabs)</t>
  </si>
  <si>
    <t xml:space="preserve">Longevity</t>
  </si>
  <si>
    <t xml:space="preserve">Generic ~₹0.5/tab. MBBS call. Very low COGS. Volume play.</t>
  </si>
  <si>
    <t xml:space="preserve">Naltrexone LDN 1.5-4.5mg (30 caps)</t>
  </si>
  <si>
    <t xml:space="preserve">Compounded low-dose naltrexone. ~₹4/cap. Growing biohacker demand.</t>
  </si>
  <si>
    <t xml:space="preserve">Thymosin Alpha-1 (4 vials)</t>
  </si>
  <si>
    <t xml:space="preserve">Zadaxin generic. Peptide. MBBS/immunologist. Very high AOV.</t>
  </si>
  <si>
    <t xml:space="preserve">Tesamorelin (4 vials)</t>
  </si>
  <si>
    <t xml:space="preserve">GH peptide. Endocrinologist supervised. Highest AOV in longevity stack.</t>
  </si>
  <si>
    <t xml:space="preserve">  PEPTIDES</t>
  </si>
  <si>
    <t xml:space="preserve">BPC-157 (30-day supply, oral)</t>
  </si>
  <si>
    <t xml:space="preserve">Peptides</t>
  </si>
  <si>
    <t xml:space="preserve">Physician supervised. Oral caps ~₹13/cap. Grey zone — physician letter required.</t>
  </si>
  <si>
    <t xml:space="preserve">Sermorelin (30-day vials)</t>
  </si>
  <si>
    <t xml:space="preserve">GH secretagogue. Endocrinologist. High value recurring protocol.</t>
  </si>
  <si>
    <t xml:space="preserve">CJC-1295 + Ipamorelin (combo)</t>
  </si>
  <si>
    <t xml:space="preserve">Gold standard GH stack. Highest peptide AOV. Physician supervised.</t>
  </si>
  <si>
    <t xml:space="preserve">TB-500 (30-day supply)</t>
  </si>
  <si>
    <t xml:space="preserve">Thymosin Beta-4. Often stacked with BPC-157. Grey zone.</t>
  </si>
  <si>
    <t xml:space="preserve">AOD-9604 (30-day)</t>
  </si>
  <si>
    <t xml:space="preserve">Fat metabolism peptide. No GH side effects. Body recomposition.</t>
  </si>
  <si>
    <t xml:space="preserve">  BODY</t>
  </si>
  <si>
    <t xml:space="preserve">Semaglutide generic (monthly)</t>
  </si>
  <si>
    <t xml:space="preserve">Body</t>
  </si>
  <si>
    <t xml:space="preserve">Natco/Sun vial ~₹900 wholesale. Arq brands at premium. Endocrinologist.</t>
  </si>
  <si>
    <t xml:space="preserve">Finasteride 1mg (30 tabs)</t>
  </si>
  <si>
    <t xml:space="preserve">Finax/Propecia generic ~₹1.2/tab. MBBS call. High volume, good margin.</t>
  </si>
  <si>
    <t xml:space="preserve">Minoxidil 5% topical (60ml)</t>
  </si>
  <si>
    <t xml:space="preserve">Generic minoxidil ~₹80 wholesale. OTC but bundled with Rx finasteride.</t>
  </si>
  <si>
    <t xml:space="preserve">Isotretinoin 20mg (30 caps)</t>
  </si>
  <si>
    <t xml:space="preserve">Generic Isotret ~₹4/cap. Dermatologist call + blood test. 6-month protocol.</t>
  </si>
  <si>
    <t xml:space="preserve">Tretinoin 0.05% cream (30g)</t>
  </si>
  <si>
    <t xml:space="preserve">Generic Retin-A ~₹80. MBBS teleconsult. High repeat.</t>
  </si>
  <si>
    <t xml:space="preserve">  FEEL/PROTECT</t>
  </si>
  <si>
    <t xml:space="preserve">THC:CBD Oil (30ml, medium)</t>
  </si>
  <si>
    <t xml:space="preserve">Feel/Protect</t>
  </si>
  <si>
    <t xml:space="preserve">Vijaya extract. BAMS vaidya call. Manufacture or partner. ₹600 COGS est.</t>
  </si>
  <si>
    <t xml:space="preserve">OCP (28-day pack)</t>
  </si>
  <si>
    <t xml:space="preserve">Generic OCP ~₹1/tab. MBBS. Very high volume, lower AOV.</t>
  </si>
  <si>
    <t xml:space="preserve">Emergency Contraception</t>
  </si>
  <si>
    <t xml:space="preserve">i-Pill generic. One-time. Urgent delivery premium. ₹399 is still 84%+ margin.</t>
  </si>
  <si>
    <t xml:space="preserve">PrEP (Tenofovir/FTC, 30 tabs)</t>
  </si>
  <si>
    <t xml:space="preserve">Generic Tenvir-EM ~₹7/tab. MBBS. Judgment-free. Monthly subscription.</t>
  </si>
  <si>
    <t xml:space="preserve">Sertraline 50mg (30 tabs)</t>
  </si>
  <si>
    <t xml:space="preserve">Generic ~₹1/tab. Psychiatrist call (20 min). Lower margin but important vertical.</t>
  </si>
  <si>
    <t xml:space="preserve">Melatonin 5mg (30 tabs)</t>
  </si>
  <si>
    <t xml:space="preserve">High-dose prescription melatonin. ~₹1.3/tab. MBBS. Good sleep stack.</t>
  </si>
  <si>
    <t xml:space="preserve">TOTAL (All Products)</t>
  </si>
  <si>
    <t xml:space="preserve">Blended Gross Margin</t>
  </si>
  <si>
    <t xml:space="preserve">arq.clinic — 24-Month P&amp;L Projection</t>
  </si>
  <si>
    <t xml:space="preserve">Dear One Technologies Pvt Ltd  |  Blue = changeable inputs  |  All figures INR</t>
  </si>
  <si>
    <t xml:space="preserve">Line Item</t>
  </si>
  <si>
    <t xml:space="preserve">M1
Feb 26</t>
  </si>
  <si>
    <t xml:space="preserve">M2
Mar 26</t>
  </si>
  <si>
    <t xml:space="preserve">M3
Apr 26</t>
  </si>
  <si>
    <t xml:space="preserve">M4
May 26</t>
  </si>
  <si>
    <t xml:space="preserve">M5
Jun 26</t>
  </si>
  <si>
    <t xml:space="preserve">M6
Jul 26</t>
  </si>
  <si>
    <t xml:space="preserve">M7
Aug 26</t>
  </si>
  <si>
    <t xml:space="preserve">M8
Sep 26</t>
  </si>
  <si>
    <t xml:space="preserve">M9
Oct 26</t>
  </si>
  <si>
    <t xml:space="preserve">M10
Nov 26</t>
  </si>
  <si>
    <t xml:space="preserve">M11
Dec 26</t>
  </si>
  <si>
    <t xml:space="preserve">M12
Jan 27</t>
  </si>
  <si>
    <t xml:space="preserve">M13
Feb 27</t>
  </si>
  <si>
    <t xml:space="preserve">M14
Mar 27</t>
  </si>
  <si>
    <t xml:space="preserve">M15
Apr 27</t>
  </si>
  <si>
    <t xml:space="preserve">M16
May 27</t>
  </si>
  <si>
    <t xml:space="preserve">M17
Jun 27</t>
  </si>
  <si>
    <t xml:space="preserve">M18
Jul 27</t>
  </si>
  <si>
    <t xml:space="preserve">M19
Aug 27</t>
  </si>
  <si>
    <t xml:space="preserve">M20
Sep 27</t>
  </si>
  <si>
    <t xml:space="preserve">M21
Oct 27</t>
  </si>
  <si>
    <t xml:space="preserve">M22
Nov 27</t>
  </si>
  <si>
    <t xml:space="preserve">M23
Dec 27</t>
  </si>
  <si>
    <t xml:space="preserve">M24
Jan 28</t>
  </si>
  <si>
    <t xml:space="preserve">  SUBSCRIBERS</t>
  </si>
  <si>
    <t xml:space="preserve">New subscribers/month</t>
  </si>
  <si>
    <t xml:space="preserve">Monthly churn rate</t>
  </si>
  <si>
    <t xml:space="preserve">Total active subscribers</t>
  </si>
  <si>
    <t xml:space="preserve">  REVENUE</t>
  </si>
  <si>
    <t xml:space="preserve">Avg revenue per subscriber (₹)</t>
  </si>
  <si>
    <t xml:space="preserve">Monthly Revenue (₹)</t>
  </si>
  <si>
    <t xml:space="preserve">ARR Run Rate (₹)</t>
  </si>
  <si>
    <t xml:space="preserve">  GROSS PROFIT</t>
  </si>
  <si>
    <t xml:space="preserve">Blended gross margin</t>
  </si>
  <si>
    <t xml:space="preserve">Gross Profit (₹)</t>
  </si>
  <si>
    <t xml:space="preserve">  OPERATING COSTS</t>
  </si>
  <si>
    <t xml:space="preserve">Doctor network (₹/month)</t>
  </si>
  <si>
    <t xml:space="preserve">Marketing spend (₹/month)</t>
  </si>
  <si>
    <t xml:space="preserve">Tech &amp; WhatsApp infra (₹/month)</t>
  </si>
  <si>
    <t xml:space="preserve">Warehouse &amp; ops (₹/month)</t>
  </si>
  <si>
    <t xml:space="preserve">Legal &amp; compliance (₹/month)</t>
  </si>
  <si>
    <t xml:space="preserve">Salaries &amp; founders (₹/month)</t>
  </si>
  <si>
    <t xml:space="preserve">Misc &amp; contingency (₹/month)</t>
  </si>
  <si>
    <t xml:space="preserve">Total OpEx (₹)</t>
  </si>
  <si>
    <t xml:space="preserve">  EBITDA</t>
  </si>
  <si>
    <t xml:space="preserve">EBITDA (₹)</t>
  </si>
  <si>
    <t xml:space="preserve">EBITDA Margin</t>
  </si>
  <si>
    <t xml:space="preserve">  KEY METRICS</t>
  </si>
  <si>
    <t xml:space="preserve">CAC (Marketing ÷ New Subs) (₹)</t>
  </si>
  <si>
    <t xml:space="preserve">LTV estimate (₹) @ 8mo avg</t>
  </si>
  <si>
    <t xml:space="preserve">LTV:CAC ratio</t>
  </si>
  <si>
    <t xml:space="preserve">Cumulative Revenue (₹)</t>
  </si>
  <si>
    <t xml:space="preserve">Cumulative EBITDA (₹)</t>
  </si>
  <si>
    <t xml:space="preserve">arq.clinic — Key Assumptions &amp; Model Summary</t>
  </si>
  <si>
    <t xml:space="preserve">  BUSINESS MODEL</t>
  </si>
  <si>
    <t xml:space="preserve">Platform type</t>
  </si>
  <si>
    <t xml:space="preserve">D2C prescription platform</t>
  </si>
  <si>
    <t xml:space="preserve">WhatsApp-native, doctor-post-purchase-call model</t>
  </si>
  <si>
    <t xml:space="preserve">Doctor call model</t>
  </si>
  <si>
    <t xml:space="preserve">Post-purchase call</t>
  </si>
  <si>
    <t xml:space="preserve">Customer buys → doctor calls within 2hrs → ships</t>
  </si>
  <si>
    <t xml:space="preserve">Doctor callback SLA</t>
  </si>
  <si>
    <t xml:space="preserve">2 hours</t>
  </si>
  <si>
    <t xml:space="preserve">Non-negotiable brand promise</t>
  </si>
  <si>
    <t xml:space="preserve">Delivery timeline</t>
  </si>
  <si>
    <t xml:space="preserve">48 hours</t>
  </si>
  <si>
    <t xml:space="preserve">Metro cities: Mumbai, Delhi, Bangalore</t>
  </si>
  <si>
    <t xml:space="preserve">  UNIT ECONOMICS ASSUMPTIONS</t>
  </si>
  <si>
    <t xml:space="preserve">Avg revenue per subscriber</t>
  </si>
  <si>
    <t xml:space="preserve">₹1,650/month</t>
  </si>
  <si>
    <t xml:space="preserve">Blended across all 26 products</t>
  </si>
  <si>
    <t xml:space="preserve">72%</t>
  </si>
  <si>
    <t xml:space="preserve">Weighted avg; high-margin peptides offset lower-margin scripts</t>
  </si>
  <si>
    <t xml:space="preserve">12%</t>
  </si>
  <si>
    <t xml:space="preserve">Industry benchmark; improves with WhatsApp retention</t>
  </si>
  <si>
    <t xml:space="preserve">Avg subscriber LTV</t>
  </si>
  <si>
    <t xml:space="preserve">8 months</t>
  </si>
  <si>
    <t xml:space="preserve">Conservative; biohacker protocols run 6-12 months</t>
  </si>
  <si>
    <t xml:space="preserve">LTV (₹)</t>
  </si>
  <si>
    <t xml:space="preserve">₹9,504</t>
  </si>
  <si>
    <t xml:space="preserve">ARPU × 8mo × 72% GM</t>
  </si>
  <si>
    <t xml:space="preserve">Target CAC</t>
  </si>
  <si>
    <t xml:space="preserve">&lt; ₹1,500</t>
  </si>
  <si>
    <t xml:space="preserve">Performance marketing + organic WhatsApp referrals</t>
  </si>
  <si>
    <t xml:space="preserve">Target LTV:CAC</t>
  </si>
  <si>
    <t xml:space="preserve">&gt; 5x</t>
  </si>
  <si>
    <t xml:space="preserve">Healthy D2C benchmark</t>
  </si>
  <si>
    <t xml:space="preserve">  COST STRUCTURE</t>
  </si>
  <si>
    <t xml:space="preserve">Doctor per consult</t>
  </si>
  <si>
    <t xml:space="preserve">₹300–700</t>
  </si>
  <si>
    <t xml:space="preserve">MBBS ₹300-400 / Endocrinologist ₹600-700 / Psychiatrist ₹500</t>
  </si>
  <si>
    <t xml:space="preserve">Packaging per order</t>
  </si>
  <si>
    <t xml:space="preserve">₹50–150</t>
  </si>
  <si>
    <t xml:space="preserve">Plain matte box. Premium feel without premium cost</t>
  </si>
  <si>
    <t xml:space="preserve">Shiprocket/Delhivery</t>
  </si>
  <si>
    <t xml:space="preserve">₹80–100</t>
  </si>
  <si>
    <t xml:space="preserve">Metro last mile. Slightly higher for cold chain peptides</t>
  </si>
  <si>
    <t xml:space="preserve">Razorpay platform fee</t>
  </si>
  <si>
    <t xml:space="preserve">~2% of GMV</t>
  </si>
  <si>
    <t xml:space="preserve">UPI transactions at lower fee; cards at higher</t>
  </si>
  <si>
    <t xml:space="preserve">Wholesale drug license</t>
  </si>
  <si>
    <t xml:space="preserve">₹25,000 one-time</t>
  </si>
  <si>
    <t xml:space="preserve">Form 20B + 21B. 30-60 day processing</t>
  </si>
  <si>
    <t xml:space="preserve">AYUSH license (cannabis)</t>
  </si>
  <si>
    <t xml:space="preserve">₹50,000 est.</t>
  </si>
  <si>
    <t xml:space="preserve">Required for THC:CBD products via BAMS vaidya route</t>
  </si>
  <si>
    <t xml:space="preserve">  GROWTH MILESTONES</t>
  </si>
  <si>
    <t xml:space="preserve">Month 3</t>
  </si>
  <si>
    <t xml:space="preserve">200 subscribers</t>
  </si>
  <si>
    <t xml:space="preserve">~₹3.3L MRR — proof of concept</t>
  </si>
  <si>
    <t xml:space="preserve">Month 6</t>
  </si>
  <si>
    <t xml:space="preserve">600 subscribers</t>
  </si>
  <si>
    <t xml:space="preserve">~₹9.9L MRR — PMF achieved</t>
  </si>
  <si>
    <t xml:space="preserve">Month 12</t>
  </si>
  <si>
    <t xml:space="preserve">1,400 subscribers</t>
  </si>
  <si>
    <t xml:space="preserve">~₹23.1L MRR — scaling</t>
  </si>
  <si>
    <t xml:space="preserve">Month 18</t>
  </si>
  <si>
    <t xml:space="preserve">2,600 subscribers</t>
  </si>
  <si>
    <t xml:space="preserve">~₹42.9L MRR — ₹5.1Cr ARR</t>
  </si>
  <si>
    <t xml:space="preserve">Month 24</t>
  </si>
  <si>
    <t xml:space="preserve">4,000 subscribers</t>
  </si>
  <si>
    <t xml:space="preserve">~₹66L MRR — ₹7.9Cr ARR</t>
  </si>
  <si>
    <t xml:space="preserve">  MARGIN BY CATEGORY (est.)</t>
  </si>
  <si>
    <t xml:space="preserve">Cognition (Modafinil, Armodafinil)</t>
  </si>
  <si>
    <t xml:space="preserve">~78% GM</t>
  </si>
  <si>
    <t xml:space="preserve">Drug COGS very low. Doctor cost is main variable</t>
  </si>
  <si>
    <t xml:space="preserve">Performance (ED, TRT)</t>
  </si>
  <si>
    <t xml:space="preserve">~75% GM</t>
  </si>
  <si>
    <t xml:space="preserve">High volume, competitive pricing, still excellent margins</t>
  </si>
  <si>
    <t xml:space="preserve">Longevity (Metformin, LDN)</t>
  </si>
  <si>
    <t xml:space="preserve">~82% GM</t>
  </si>
  <si>
    <t xml:space="preserve">Very low COGS. Volume play. Highest margin category</t>
  </si>
  <si>
    <t xml:space="preserve">Peptides (BPC-157, Sermorelin)</t>
  </si>
  <si>
    <t xml:space="preserve">~72% GM</t>
  </si>
  <si>
    <t xml:space="preserve">Higher COGS but premium pricing. Specialist doctor cost</t>
  </si>
  <si>
    <t xml:space="preserve">Body (Semaglutide, Finasteride)</t>
  </si>
  <si>
    <t xml:space="preserve">~68% GM</t>
  </si>
  <si>
    <t xml:space="preserve">Semaglutide drags margin down slightly. Still excellent</t>
  </si>
  <si>
    <t xml:space="preserve">Feel/Protect (THC, OCP, PrEP)</t>
  </si>
  <si>
    <t xml:space="preserve">~74% GM</t>
  </si>
  <si>
    <t xml:space="preserve">Variable. THC high margin, OCP lower price point</t>
  </si>
  <si>
    <t xml:space="preserve">  COMPETITIVE PRICING STRATEGY</t>
  </si>
  <si>
    <t xml:space="preserve">Positioning</t>
  </si>
  <si>
    <t xml:space="preserve">Premium, not cheapest</t>
  </si>
  <si>
    <t xml:space="preserve">Arq charges 20-40% above grey market. Trust is the premium.</t>
  </si>
  <si>
    <t xml:space="preserve">Sildenafil vs grey market</t>
  </si>
  <si>
    <t xml:space="preserve">₹999 vs ₹150-400</t>
  </si>
  <si>
    <t xml:space="preserve">Customer pays for: prescription, quality, discretion, delivery</t>
  </si>
  <si>
    <t xml:space="preserve">Modafinil vs grey market</t>
  </si>
  <si>
    <t xml:space="preserve">₹1,799 vs ₹800-1,200</t>
  </si>
  <si>
    <t xml:space="preserve">Legal source + brand trust = premium justified</t>
  </si>
  <si>
    <t xml:space="preserve">Semaglutide vs Natco vial</t>
  </si>
  <si>
    <t xml:space="preserve">₹2,499 vs ₹1,290</t>
  </si>
  <si>
    <t xml:space="preserve">Doctor supervision + branded kit = 90% premium</t>
  </si>
  <si>
    <t xml:space="preserve">THC:CBD vs Qurist</t>
  </si>
  <si>
    <t xml:space="preserve">₹2,999 vs ₹2,999</t>
  </si>
  <si>
    <t xml:space="preserve">Compete on brand, UX, discretion. Not price.</t>
  </si>
  <si>
    <t xml:space="preserve">  SETUP COSTS (ONE-TIME)</t>
  </si>
  <si>
    <t xml:space="preserve">Company registration (Done)</t>
  </si>
  <si>
    <t xml:space="preserve">₹0</t>
  </si>
  <si>
    <t xml:space="preserve">Dear One Technologies Pvt Ltd already registered</t>
  </si>
  <si>
    <t xml:space="preserve">₹25,000</t>
  </si>
  <si>
    <t xml:space="preserve">Form 20B + 21B</t>
  </si>
  <si>
    <t xml:space="preserve">AYUSH cannabis license</t>
  </si>
  <si>
    <t xml:space="preserve">₹50,000</t>
  </si>
  <si>
    <t xml:space="preserve">For THC:CBD vertical</t>
  </si>
  <si>
    <t xml:space="preserve">Brand trademark (2 classes)</t>
  </si>
  <si>
    <t xml:space="preserve">₹18,000</t>
  </si>
  <si>
    <t xml:space="preserve">Class 5 + Class 44. File immediately.</t>
  </si>
  <si>
    <t xml:space="preserve">Website build (AI-assisted)</t>
  </si>
  <si>
    <t xml:space="preserve">Webflow or Next.js. WhatsApp integration.</t>
  </si>
  <si>
    <t xml:space="preserve">Initial product inventory</t>
  </si>
  <si>
    <t xml:space="preserve">₹2,00,000</t>
  </si>
  <si>
    <t xml:space="preserve">First batch across launch products</t>
  </si>
  <si>
    <t xml:space="preserve">Legal &amp; compliance setup</t>
  </si>
  <si>
    <t xml:space="preserve">₹75,000</t>
  </si>
  <si>
    <t xml:space="preserve">Lawyer fees, compliance documentation</t>
  </si>
  <si>
    <t xml:space="preserve">Warehouse setup (basic)</t>
  </si>
  <si>
    <t xml:space="preserve">Small licensed storage. Can co-locate.</t>
  </si>
  <si>
    <t xml:space="preserve">TOTAL SETUP COST</t>
  </si>
  <si>
    <t xml:space="preserve">~₹4,68,000</t>
  </si>
  <si>
    <t xml:space="preserve">Under ₹5 lakh to go live. Exceptionally lean.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</si>
</sst>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#,##0"/>
    <numFmt numFmtId="168" formatCode="0.0\x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49A3C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060608"/>
      <name val="Arial"/>
      <family val="0"/>
      <charset val="1"/>
    </font>
    <font>
      <b val="true"/>
      <sz val="10"/>
      <color rgb="FF1A3A6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1A3A6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1A6A3A"/>
      <name val="Arial"/>
      <family val="0"/>
      <charset val="1"/>
    </font>
    <font>
      <sz val="9"/>
      <color rgb="FF1A6A3A"/>
      <name val="Arial"/>
      <family val="0"/>
      <charset val="1"/>
    </font>
    <font>
      <b val="true"/>
      <sz val="10"/>
      <color rgb="FF4A1A6A"/>
      <name val="Arial"/>
      <family val="0"/>
      <charset val="1"/>
    </font>
    <font>
      <sz val="9"/>
      <color rgb="FF4A1A6A"/>
      <name val="Arial"/>
      <family val="0"/>
      <charset val="1"/>
    </font>
    <font>
      <b val="true"/>
      <sz val="10"/>
      <color rgb="FF1A4A6A"/>
      <name val="Arial"/>
      <family val="0"/>
      <charset val="1"/>
    </font>
    <font>
      <sz val="9"/>
      <color rgb="FF1A4A6A"/>
      <name val="Arial"/>
      <family val="0"/>
      <charset val="1"/>
    </font>
    <font>
      <b val="true"/>
      <sz val="10"/>
      <color rgb="FF6A3A1A"/>
      <name val="Arial"/>
      <family val="0"/>
      <charset val="1"/>
    </font>
    <font>
      <sz val="9"/>
      <color rgb="FF6A3A1A"/>
      <name val="Arial"/>
      <family val="0"/>
      <charset val="1"/>
    </font>
    <font>
      <b val="true"/>
      <sz val="10"/>
      <color rgb="FF6A1A1A"/>
      <name val="Arial"/>
      <family val="0"/>
      <charset val="1"/>
    </font>
    <font>
      <sz val="9"/>
      <color rgb="FF6A1A1A"/>
      <name val="Arial"/>
      <family val="0"/>
      <charset val="1"/>
    </font>
    <font>
      <b val="true"/>
      <sz val="11"/>
      <color rgb="FF06060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0"/>
      <color rgb="FF060608"/>
      <name val="Arial"/>
      <family val="0"/>
      <charset val="1"/>
    </font>
    <font>
      <b val="true"/>
      <sz val="10"/>
      <color rgb="FFEDE9E0"/>
      <name val="Arial"/>
      <family val="0"/>
      <charset val="1"/>
    </font>
    <font>
      <b val="true"/>
      <sz val="14"/>
      <color rgb="FFC49A3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60608"/>
        <bgColor rgb="FF000000"/>
      </patternFill>
    </fill>
    <fill>
      <patternFill patternType="solid">
        <fgColor rgb="FFC49A3C"/>
        <bgColor rgb="FF969696"/>
      </patternFill>
    </fill>
    <fill>
      <patternFill patternType="solid">
        <fgColor rgb="FFD6E4F7"/>
        <bgColor rgb="FFD6F7F7"/>
      </patternFill>
    </fill>
    <fill>
      <patternFill patternType="solid">
        <fgColor rgb="FFF0EDE8"/>
        <bgColor rgb="FFEDE9E0"/>
      </patternFill>
    </fill>
    <fill>
      <patternFill patternType="solid">
        <fgColor rgb="FFFFF8E1"/>
        <bgColor rgb="FFF7EDD6"/>
      </patternFill>
    </fill>
    <fill>
      <patternFill patternType="solid">
        <fgColor rgb="FFE8F5E9"/>
        <bgColor rgb="FFF0EDE8"/>
      </patternFill>
    </fill>
    <fill>
      <patternFill patternType="solid">
        <fgColor rgb="FFFFFFFF"/>
        <bgColor rgb="FFFFF8E1"/>
      </patternFill>
    </fill>
    <fill>
      <patternFill patternType="solid">
        <fgColor rgb="FFD6F7E4"/>
        <bgColor rgb="FFD6F7F7"/>
      </patternFill>
    </fill>
    <fill>
      <patternFill patternType="solid">
        <fgColor rgb="FFEFD6F7"/>
        <bgColor rgb="FFF7D6D6"/>
      </patternFill>
    </fill>
    <fill>
      <patternFill patternType="solid">
        <fgColor rgb="FFD6F7F7"/>
        <bgColor rgb="FFD6F7E4"/>
      </patternFill>
    </fill>
    <fill>
      <patternFill patternType="solid">
        <fgColor rgb="FFF7EDD6"/>
        <bgColor rgb="FFF0EDE8"/>
      </patternFill>
    </fill>
    <fill>
      <patternFill patternType="solid">
        <fgColor rgb="FFF7D6D6"/>
        <bgColor rgb="FFEFD6F7"/>
      </patternFill>
    </fill>
    <fill>
      <patternFill patternType="solid">
        <fgColor rgb="FF1A1A20"/>
        <bgColor rgb="FF060608"/>
      </patternFill>
    </fill>
    <fill>
      <patternFill patternType="solid">
        <fgColor rgb="FFF5E6C0"/>
        <bgColor rgb="FFF7ED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EDD6"/>
      <rgbColor rgb="FFFF00FF"/>
      <rgbColor rgb="FF00FFFF"/>
      <rgbColor rgb="FF6A1A1A"/>
      <rgbColor rgb="FF1A6A3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D6F7F7"/>
      <rgbColor rgb="FF4A1A6A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F7E4"/>
      <rgbColor rgb="FFF5E6C0"/>
      <rgbColor rgb="FFEFD6F7"/>
      <rgbColor rgb="FFEDE9E0"/>
      <rgbColor rgb="FFF0EDE8"/>
      <rgbColor rgb="FFF7D6D6"/>
      <rgbColor rgb="FF3366FF"/>
      <rgbColor rgb="FF33CCCC"/>
      <rgbColor rgb="FF99CC00"/>
      <rgbColor rgb="FFFFCC00"/>
      <rgbColor rgb="FFC49A3C"/>
      <rgbColor rgb="FFE65100"/>
      <rgbColor rgb="FF555555"/>
      <rgbColor rgb="FF969696"/>
      <rgbColor rgb="FF1A3A6A"/>
      <rgbColor rgb="FF339966"/>
      <rgbColor rgb="FF060608"/>
      <rgbColor rgb="FF1B5E20"/>
      <rgbColor rgb="FF6A3A1A"/>
      <rgbColor rgb="FF993366"/>
      <rgbColor rgb="FF1A4A6A"/>
      <rgbColor rgb="FF1A1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8" min="6" style="0" width="14"/>
    <col collapsed="false" customWidth="true" hidden="false" outlineLevel="0" max="10" min="9" style="0" width="16"/>
    <col collapsed="false" customWidth="true" hidden="false" outlineLevel="0" max="12" min="11" style="0" width="14"/>
    <col collapsed="false" customWidth="true" hidden="false" outlineLevel="0" max="15" min="13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8" hidden="false" customHeight="true" outlineLevel="0" collapsed="false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21.75" hidden="false" customHeight="true" outlineLevel="0" collapsed="false">
      <c r="A5" s="5" t="s">
        <v>18</v>
      </c>
      <c r="B5" s="6" t="s">
        <v>19</v>
      </c>
      <c r="C5" s="7" t="n">
        <v>1799</v>
      </c>
      <c r="D5" s="7" t="n">
        <v>180</v>
      </c>
      <c r="E5" s="7" t="n">
        <v>350</v>
      </c>
      <c r="F5" s="7" t="n">
        <v>60</v>
      </c>
      <c r="G5" s="7" t="n">
        <v>80</v>
      </c>
      <c r="H5" s="7" t="n">
        <v>40</v>
      </c>
      <c r="I5" s="8" t="n">
        <f aca="false">D5+E5+F5+G5+H5</f>
        <v>710</v>
      </c>
      <c r="J5" s="9" t="n">
        <f aca="false">C5-I5</f>
        <v>1089</v>
      </c>
      <c r="K5" s="10" t="n">
        <f aca="false">IF(C5&gt;0,J5/C5,0)</f>
        <v>0.605336297943302</v>
      </c>
      <c r="L5" s="11" t="n">
        <v>150</v>
      </c>
      <c r="M5" s="12" t="n">
        <f aca="false">C5*L5</f>
        <v>269850</v>
      </c>
      <c r="N5" s="9" t="n">
        <f aca="false">J5*L5</f>
        <v>163350</v>
      </c>
      <c r="O5" s="13" t="s">
        <v>20</v>
      </c>
    </row>
    <row r="6" customFormat="false" ht="21.75" hidden="false" customHeight="true" outlineLevel="0" collapsed="false">
      <c r="A6" s="14" t="s">
        <v>21</v>
      </c>
      <c r="B6" s="6" t="s">
        <v>19</v>
      </c>
      <c r="C6" s="7" t="n">
        <v>1999</v>
      </c>
      <c r="D6" s="7" t="n">
        <v>210</v>
      </c>
      <c r="E6" s="7" t="n">
        <v>350</v>
      </c>
      <c r="F6" s="7" t="n">
        <v>60</v>
      </c>
      <c r="G6" s="7" t="n">
        <v>80</v>
      </c>
      <c r="H6" s="7" t="n">
        <v>40</v>
      </c>
      <c r="I6" s="8" t="n">
        <f aca="false">D6+E6+F6+G6+H6</f>
        <v>740</v>
      </c>
      <c r="J6" s="9" t="n">
        <f aca="false">C6-I6</f>
        <v>1259</v>
      </c>
      <c r="K6" s="10" t="n">
        <f aca="false">IF(C6&gt;0,J6/C6,0)</f>
        <v>0.629814907453727</v>
      </c>
      <c r="L6" s="11" t="n">
        <v>80</v>
      </c>
      <c r="M6" s="12" t="n">
        <f aca="false">C6*L6</f>
        <v>159920</v>
      </c>
      <c r="N6" s="9" t="n">
        <f aca="false">J6*L6</f>
        <v>100720</v>
      </c>
      <c r="O6" s="15" t="s">
        <v>22</v>
      </c>
    </row>
    <row r="7" customFormat="false" ht="21.75" hidden="false" customHeight="true" outlineLevel="0" collapsed="false">
      <c r="A7" s="5" t="s">
        <v>23</v>
      </c>
      <c r="B7" s="6" t="s">
        <v>19</v>
      </c>
      <c r="C7" s="7" t="n">
        <v>2999</v>
      </c>
      <c r="D7" s="7" t="n">
        <v>800</v>
      </c>
      <c r="E7" s="7" t="n">
        <v>300</v>
      </c>
      <c r="F7" s="7" t="n">
        <v>80</v>
      </c>
      <c r="G7" s="7" t="n">
        <v>80</v>
      </c>
      <c r="H7" s="7" t="n">
        <v>40</v>
      </c>
      <c r="I7" s="8" t="n">
        <f aca="false">D7+E7+F7+G7+H7</f>
        <v>1300</v>
      </c>
      <c r="J7" s="9" t="n">
        <f aca="false">C7-I7</f>
        <v>1699</v>
      </c>
      <c r="K7" s="10" t="n">
        <f aca="false">IF(C7&gt;0,J7/C7,0)</f>
        <v>0.566522174058019</v>
      </c>
      <c r="L7" s="11" t="n">
        <v>60</v>
      </c>
      <c r="M7" s="12" t="n">
        <f aca="false">C7*L7</f>
        <v>179940</v>
      </c>
      <c r="N7" s="9" t="n">
        <f aca="false">J7*L7</f>
        <v>101940</v>
      </c>
      <c r="O7" s="13" t="s">
        <v>24</v>
      </c>
    </row>
    <row r="8" customFormat="false" ht="18" hidden="false" customHeight="true" outlineLevel="0" collapsed="false">
      <c r="A8" s="16" t="s">
        <v>25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customFormat="false" ht="21.75" hidden="false" customHeight="true" outlineLevel="0" collapsed="false">
      <c r="A9" s="5" t="s">
        <v>26</v>
      </c>
      <c r="B9" s="17" t="s">
        <v>27</v>
      </c>
      <c r="C9" s="7" t="n">
        <v>999</v>
      </c>
      <c r="D9" s="7" t="n">
        <v>40</v>
      </c>
      <c r="E9" s="7" t="n">
        <v>350</v>
      </c>
      <c r="F9" s="7" t="n">
        <v>60</v>
      </c>
      <c r="G9" s="7" t="n">
        <v>80</v>
      </c>
      <c r="H9" s="7" t="n">
        <v>40</v>
      </c>
      <c r="I9" s="8" t="n">
        <f aca="false">D9+E9+F9+G9+H9</f>
        <v>570</v>
      </c>
      <c r="J9" s="9" t="n">
        <f aca="false">C9-I9</f>
        <v>429</v>
      </c>
      <c r="K9" s="10" t="n">
        <f aca="false">IF(C9&gt;0,J9/C9,0)</f>
        <v>0.429429429429429</v>
      </c>
      <c r="L9" s="11" t="n">
        <v>400</v>
      </c>
      <c r="M9" s="12" t="n">
        <f aca="false">C9*L9</f>
        <v>399600</v>
      </c>
      <c r="N9" s="9" t="n">
        <f aca="false">J9*L9</f>
        <v>171600</v>
      </c>
      <c r="O9" s="13" t="s">
        <v>28</v>
      </c>
    </row>
    <row r="10" customFormat="false" ht="21.75" hidden="false" customHeight="true" outlineLevel="0" collapsed="false">
      <c r="A10" s="14" t="s">
        <v>29</v>
      </c>
      <c r="B10" s="17" t="s">
        <v>27</v>
      </c>
      <c r="C10" s="7" t="n">
        <v>1199</v>
      </c>
      <c r="D10" s="7" t="n">
        <v>60</v>
      </c>
      <c r="E10" s="7" t="n">
        <v>350</v>
      </c>
      <c r="F10" s="7" t="n">
        <v>60</v>
      </c>
      <c r="G10" s="7" t="n">
        <v>80</v>
      </c>
      <c r="H10" s="7" t="n">
        <v>40</v>
      </c>
      <c r="I10" s="8" t="n">
        <f aca="false">D10+E10+F10+G10+H10</f>
        <v>590</v>
      </c>
      <c r="J10" s="9" t="n">
        <f aca="false">C10-I10</f>
        <v>609</v>
      </c>
      <c r="K10" s="10" t="n">
        <f aca="false">IF(C10&gt;0,J10/C10,0)</f>
        <v>0.507923269391159</v>
      </c>
      <c r="L10" s="11" t="n">
        <v>250</v>
      </c>
      <c r="M10" s="12" t="n">
        <f aca="false">C10*L10</f>
        <v>299750</v>
      </c>
      <c r="N10" s="9" t="n">
        <f aca="false">J10*L10</f>
        <v>152250</v>
      </c>
      <c r="O10" s="15" t="s">
        <v>30</v>
      </c>
    </row>
    <row r="11" customFormat="false" ht="21.75" hidden="false" customHeight="true" outlineLevel="0" collapsed="false">
      <c r="A11" s="5" t="s">
        <v>31</v>
      </c>
      <c r="B11" s="17" t="s">
        <v>27</v>
      </c>
      <c r="C11" s="7" t="n">
        <v>3499</v>
      </c>
      <c r="D11" s="7" t="n">
        <v>600</v>
      </c>
      <c r="E11" s="7" t="n">
        <v>500</v>
      </c>
      <c r="F11" s="7" t="n">
        <v>100</v>
      </c>
      <c r="G11" s="7" t="n">
        <v>100</v>
      </c>
      <c r="H11" s="7" t="n">
        <v>50</v>
      </c>
      <c r="I11" s="8" t="n">
        <f aca="false">D11+E11+F11+G11+H11</f>
        <v>1350</v>
      </c>
      <c r="J11" s="9" t="n">
        <f aca="false">C11-I11</f>
        <v>2149</v>
      </c>
      <c r="K11" s="10" t="n">
        <f aca="false">IF(C11&gt;0,J11/C11,0)</f>
        <v>0.614175478708202</v>
      </c>
      <c r="L11" s="11" t="n">
        <v>40</v>
      </c>
      <c r="M11" s="12" t="n">
        <f aca="false">C11*L11</f>
        <v>139960</v>
      </c>
      <c r="N11" s="9" t="n">
        <f aca="false">J11*L11</f>
        <v>85960</v>
      </c>
      <c r="O11" s="13" t="s">
        <v>32</v>
      </c>
    </row>
    <row r="12" customFormat="false" ht="21.75" hidden="false" customHeight="true" outlineLevel="0" collapsed="false">
      <c r="A12" s="14" t="s">
        <v>33</v>
      </c>
      <c r="B12" s="17" t="s">
        <v>27</v>
      </c>
      <c r="C12" s="7" t="n">
        <v>3499</v>
      </c>
      <c r="D12" s="7" t="n">
        <v>400</v>
      </c>
      <c r="E12" s="7" t="n">
        <v>700</v>
      </c>
      <c r="F12" s="7" t="n">
        <v>100</v>
      </c>
      <c r="G12" s="7" t="n">
        <v>100</v>
      </c>
      <c r="H12" s="7" t="n">
        <v>50</v>
      </c>
      <c r="I12" s="8" t="n">
        <f aca="false">D12+E12+F12+G12+H12</f>
        <v>1350</v>
      </c>
      <c r="J12" s="9" t="n">
        <f aca="false">C12-I12</f>
        <v>2149</v>
      </c>
      <c r="K12" s="10" t="n">
        <f aca="false">IF(C12&gt;0,J12/C12,0)</f>
        <v>0.614175478708202</v>
      </c>
      <c r="L12" s="11" t="n">
        <v>80</v>
      </c>
      <c r="M12" s="12" t="n">
        <f aca="false">C12*L12</f>
        <v>279920</v>
      </c>
      <c r="N12" s="9" t="n">
        <f aca="false">J12*L12</f>
        <v>171920</v>
      </c>
      <c r="O12" s="15" t="s">
        <v>34</v>
      </c>
    </row>
    <row r="13" customFormat="false" ht="18" hidden="false" customHeight="true" outlineLevel="0" collapsed="false">
      <c r="A13" s="18" t="s">
        <v>35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21.75" hidden="false" customHeight="true" outlineLevel="0" collapsed="false">
      <c r="A14" s="14" t="s">
        <v>36</v>
      </c>
      <c r="B14" s="19" t="s">
        <v>37</v>
      </c>
      <c r="C14" s="7" t="n">
        <v>499</v>
      </c>
      <c r="D14" s="7" t="n">
        <v>30</v>
      </c>
      <c r="E14" s="7" t="n">
        <v>300</v>
      </c>
      <c r="F14" s="7" t="n">
        <v>50</v>
      </c>
      <c r="G14" s="7" t="n">
        <v>80</v>
      </c>
      <c r="H14" s="7" t="n">
        <v>30</v>
      </c>
      <c r="I14" s="8" t="n">
        <f aca="false">D14+E14+F14+G14+H14</f>
        <v>490</v>
      </c>
      <c r="J14" s="9" t="n">
        <f aca="false">C14-I14</f>
        <v>9</v>
      </c>
      <c r="K14" s="10" t="n">
        <f aca="false">IF(C14&gt;0,J14/C14,0)</f>
        <v>0.0180360721442886</v>
      </c>
      <c r="L14" s="11" t="n">
        <v>200</v>
      </c>
      <c r="M14" s="12" t="n">
        <f aca="false">C14*L14</f>
        <v>99800</v>
      </c>
      <c r="N14" s="9" t="n">
        <f aca="false">J14*L14</f>
        <v>1800</v>
      </c>
      <c r="O14" s="15" t="s">
        <v>38</v>
      </c>
    </row>
    <row r="15" customFormat="false" ht="21.75" hidden="false" customHeight="true" outlineLevel="0" collapsed="false">
      <c r="A15" s="5" t="s">
        <v>39</v>
      </c>
      <c r="B15" s="19" t="s">
        <v>37</v>
      </c>
      <c r="C15" s="7" t="n">
        <v>999</v>
      </c>
      <c r="D15" s="7" t="n">
        <v>120</v>
      </c>
      <c r="E15" s="7" t="n">
        <v>350</v>
      </c>
      <c r="F15" s="7" t="n">
        <v>60</v>
      </c>
      <c r="G15" s="7" t="n">
        <v>80</v>
      </c>
      <c r="H15" s="7" t="n">
        <v>40</v>
      </c>
      <c r="I15" s="8" t="n">
        <f aca="false">D15+E15+F15+G15+H15</f>
        <v>650</v>
      </c>
      <c r="J15" s="9" t="n">
        <f aca="false">C15-I15</f>
        <v>349</v>
      </c>
      <c r="K15" s="10" t="n">
        <f aca="false">IF(C15&gt;0,J15/C15,0)</f>
        <v>0.349349349349349</v>
      </c>
      <c r="L15" s="11" t="n">
        <v>100</v>
      </c>
      <c r="M15" s="12" t="n">
        <f aca="false">C15*L15</f>
        <v>99900</v>
      </c>
      <c r="N15" s="9" t="n">
        <f aca="false">J15*L15</f>
        <v>34900</v>
      </c>
      <c r="O15" s="13" t="s">
        <v>40</v>
      </c>
    </row>
    <row r="16" customFormat="false" ht="21.75" hidden="false" customHeight="true" outlineLevel="0" collapsed="false">
      <c r="A16" s="14" t="s">
        <v>41</v>
      </c>
      <c r="B16" s="19" t="s">
        <v>37</v>
      </c>
      <c r="C16" s="7" t="n">
        <v>4999</v>
      </c>
      <c r="D16" s="7" t="n">
        <v>800</v>
      </c>
      <c r="E16" s="7" t="n">
        <v>700</v>
      </c>
      <c r="F16" s="7" t="n">
        <v>120</v>
      </c>
      <c r="G16" s="7" t="n">
        <v>100</v>
      </c>
      <c r="H16" s="7" t="n">
        <v>60</v>
      </c>
      <c r="I16" s="8" t="n">
        <f aca="false">D16+E16+F16+G16+H16</f>
        <v>1780</v>
      </c>
      <c r="J16" s="9" t="n">
        <f aca="false">C16-I16</f>
        <v>3219</v>
      </c>
      <c r="K16" s="10" t="n">
        <f aca="false">IF(C16&gt;0,J16/C16,0)</f>
        <v>0.643928785757151</v>
      </c>
      <c r="L16" s="11" t="n">
        <v>30</v>
      </c>
      <c r="M16" s="12" t="n">
        <f aca="false">C16*L16</f>
        <v>149970</v>
      </c>
      <c r="N16" s="9" t="n">
        <f aca="false">J16*L16</f>
        <v>96570</v>
      </c>
      <c r="O16" s="15" t="s">
        <v>42</v>
      </c>
    </row>
    <row r="17" customFormat="false" ht="21.75" hidden="false" customHeight="true" outlineLevel="0" collapsed="false">
      <c r="A17" s="5" t="s">
        <v>43</v>
      </c>
      <c r="B17" s="19" t="s">
        <v>37</v>
      </c>
      <c r="C17" s="7" t="n">
        <v>5999</v>
      </c>
      <c r="D17" s="7" t="n">
        <v>1200</v>
      </c>
      <c r="E17" s="7" t="n">
        <v>700</v>
      </c>
      <c r="F17" s="7" t="n">
        <v>120</v>
      </c>
      <c r="G17" s="7" t="n">
        <v>100</v>
      </c>
      <c r="H17" s="7" t="n">
        <v>60</v>
      </c>
      <c r="I17" s="8" t="n">
        <f aca="false">D17+E17+F17+G17+H17</f>
        <v>2180</v>
      </c>
      <c r="J17" s="9" t="n">
        <f aca="false">C17-I17</f>
        <v>3819</v>
      </c>
      <c r="K17" s="10" t="n">
        <f aca="false">IF(C17&gt;0,J17/C17,0)</f>
        <v>0.636606101016836</v>
      </c>
      <c r="L17" s="11" t="n">
        <v>20</v>
      </c>
      <c r="M17" s="12" t="n">
        <f aca="false">C17*L17</f>
        <v>119980</v>
      </c>
      <c r="N17" s="9" t="n">
        <f aca="false">J17*L17</f>
        <v>76380</v>
      </c>
      <c r="O17" s="13" t="s">
        <v>44</v>
      </c>
    </row>
    <row r="18" customFormat="false" ht="18" hidden="false" customHeight="true" outlineLevel="0" collapsed="false">
      <c r="A18" s="20" t="s">
        <v>45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customFormat="false" ht="21.75" hidden="false" customHeight="true" outlineLevel="0" collapsed="false">
      <c r="A19" s="5" t="s">
        <v>46</v>
      </c>
      <c r="B19" s="21" t="s">
        <v>47</v>
      </c>
      <c r="C19" s="7" t="n">
        <v>3999</v>
      </c>
      <c r="D19" s="7" t="n">
        <v>400</v>
      </c>
      <c r="E19" s="7" t="n">
        <v>600</v>
      </c>
      <c r="F19" s="7" t="n">
        <v>100</v>
      </c>
      <c r="G19" s="7" t="n">
        <v>100</v>
      </c>
      <c r="H19" s="7" t="n">
        <v>50</v>
      </c>
      <c r="I19" s="8" t="n">
        <f aca="false">D19+E19+F19+G19+H19</f>
        <v>1250</v>
      </c>
      <c r="J19" s="9" t="n">
        <f aca="false">C19-I19</f>
        <v>2749</v>
      </c>
      <c r="K19" s="10" t="n">
        <f aca="false">IF(C19&gt;0,J19/C19,0)</f>
        <v>0.687421855463866</v>
      </c>
      <c r="L19" s="11" t="n">
        <v>50</v>
      </c>
      <c r="M19" s="12" t="n">
        <f aca="false">C19*L19</f>
        <v>199950</v>
      </c>
      <c r="N19" s="9" t="n">
        <f aca="false">J19*L19</f>
        <v>137450</v>
      </c>
      <c r="O19" s="13" t="s">
        <v>48</v>
      </c>
    </row>
    <row r="20" customFormat="false" ht="21.75" hidden="false" customHeight="true" outlineLevel="0" collapsed="false">
      <c r="A20" s="14" t="s">
        <v>49</v>
      </c>
      <c r="B20" s="21" t="s">
        <v>47</v>
      </c>
      <c r="C20" s="7" t="n">
        <v>3999</v>
      </c>
      <c r="D20" s="7" t="n">
        <v>600</v>
      </c>
      <c r="E20" s="7" t="n">
        <v>700</v>
      </c>
      <c r="F20" s="7" t="n">
        <v>120</v>
      </c>
      <c r="G20" s="7" t="n">
        <v>100</v>
      </c>
      <c r="H20" s="7" t="n">
        <v>60</v>
      </c>
      <c r="I20" s="8" t="n">
        <f aca="false">D20+E20+F20+G20+H20</f>
        <v>1580</v>
      </c>
      <c r="J20" s="9" t="n">
        <f aca="false">C20-I20</f>
        <v>2419</v>
      </c>
      <c r="K20" s="10" t="n">
        <f aca="false">IF(C20&gt;0,J20/C20,0)</f>
        <v>0.604901225306327</v>
      </c>
      <c r="L20" s="11" t="n">
        <v>40</v>
      </c>
      <c r="M20" s="12" t="n">
        <f aca="false">C20*L20</f>
        <v>159960</v>
      </c>
      <c r="N20" s="9" t="n">
        <f aca="false">J20*L20</f>
        <v>96760</v>
      </c>
      <c r="O20" s="15" t="s">
        <v>50</v>
      </c>
    </row>
    <row r="21" customFormat="false" ht="21.75" hidden="false" customHeight="true" outlineLevel="0" collapsed="false">
      <c r="A21" s="5" t="s">
        <v>51</v>
      </c>
      <c r="B21" s="21" t="s">
        <v>47</v>
      </c>
      <c r="C21" s="7" t="n">
        <v>5999</v>
      </c>
      <c r="D21" s="7" t="n">
        <v>1000</v>
      </c>
      <c r="E21" s="7" t="n">
        <v>700</v>
      </c>
      <c r="F21" s="7" t="n">
        <v>150</v>
      </c>
      <c r="G21" s="7" t="n">
        <v>100</v>
      </c>
      <c r="H21" s="7" t="n">
        <v>70</v>
      </c>
      <c r="I21" s="8" t="n">
        <f aca="false">D21+E21+F21+G21+H21</f>
        <v>2020</v>
      </c>
      <c r="J21" s="9" t="n">
        <f aca="false">C21-I21</f>
        <v>3979</v>
      </c>
      <c r="K21" s="10" t="n">
        <f aca="false">IF(C21&gt;0,J21/C21,0)</f>
        <v>0.663277212868812</v>
      </c>
      <c r="L21" s="11" t="n">
        <v>30</v>
      </c>
      <c r="M21" s="12" t="n">
        <f aca="false">C21*L21</f>
        <v>179970</v>
      </c>
      <c r="N21" s="9" t="n">
        <f aca="false">J21*L21</f>
        <v>119370</v>
      </c>
      <c r="O21" s="13" t="s">
        <v>52</v>
      </c>
    </row>
    <row r="22" customFormat="false" ht="21.75" hidden="false" customHeight="true" outlineLevel="0" collapsed="false">
      <c r="A22" s="14" t="s">
        <v>53</v>
      </c>
      <c r="B22" s="21" t="s">
        <v>47</v>
      </c>
      <c r="C22" s="7" t="n">
        <v>4999</v>
      </c>
      <c r="D22" s="7" t="n">
        <v>700</v>
      </c>
      <c r="E22" s="7" t="n">
        <v>600</v>
      </c>
      <c r="F22" s="7" t="n">
        <v>120</v>
      </c>
      <c r="G22" s="7" t="n">
        <v>100</v>
      </c>
      <c r="H22" s="7" t="n">
        <v>60</v>
      </c>
      <c r="I22" s="8" t="n">
        <f aca="false">D22+E22+F22+G22+H22</f>
        <v>1580</v>
      </c>
      <c r="J22" s="9" t="n">
        <f aca="false">C22-I22</f>
        <v>3419</v>
      </c>
      <c r="K22" s="10" t="n">
        <f aca="false">IF(C22&gt;0,J22/C22,0)</f>
        <v>0.683936787357472</v>
      </c>
      <c r="L22" s="11" t="n">
        <v>25</v>
      </c>
      <c r="M22" s="12" t="n">
        <f aca="false">C22*L22</f>
        <v>124975</v>
      </c>
      <c r="N22" s="9" t="n">
        <f aca="false">J22*L22</f>
        <v>85475</v>
      </c>
      <c r="O22" s="15" t="s">
        <v>54</v>
      </c>
    </row>
    <row r="23" customFormat="false" ht="21.75" hidden="false" customHeight="true" outlineLevel="0" collapsed="false">
      <c r="A23" s="5" t="s">
        <v>55</v>
      </c>
      <c r="B23" s="21" t="s">
        <v>47</v>
      </c>
      <c r="C23" s="7" t="n">
        <v>3999</v>
      </c>
      <c r="D23" s="7" t="n">
        <v>500</v>
      </c>
      <c r="E23" s="7" t="n">
        <v>600</v>
      </c>
      <c r="F23" s="7" t="n">
        <v>100</v>
      </c>
      <c r="G23" s="7" t="n">
        <v>100</v>
      </c>
      <c r="H23" s="7" t="n">
        <v>50</v>
      </c>
      <c r="I23" s="8" t="n">
        <f aca="false">D23+E23+F23+G23+H23</f>
        <v>1350</v>
      </c>
      <c r="J23" s="9" t="n">
        <f aca="false">C23-I23</f>
        <v>2649</v>
      </c>
      <c r="K23" s="10" t="n">
        <f aca="false">IF(C23&gt;0,J23/C23,0)</f>
        <v>0.662415603900975</v>
      </c>
      <c r="L23" s="11" t="n">
        <v>20</v>
      </c>
      <c r="M23" s="12" t="n">
        <f aca="false">C23*L23</f>
        <v>79980</v>
      </c>
      <c r="N23" s="9" t="n">
        <f aca="false">J23*L23</f>
        <v>52980</v>
      </c>
      <c r="O23" s="13" t="s">
        <v>56</v>
      </c>
    </row>
    <row r="24" customFormat="false" ht="18" hidden="false" customHeight="true" outlineLevel="0" collapsed="false">
      <c r="A24" s="22" t="s">
        <v>57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customFormat="false" ht="21.75" hidden="false" customHeight="true" outlineLevel="0" collapsed="false">
      <c r="A25" s="5" t="s">
        <v>58</v>
      </c>
      <c r="B25" s="23" t="s">
        <v>59</v>
      </c>
      <c r="C25" s="7" t="n">
        <v>2499</v>
      </c>
      <c r="D25" s="7" t="n">
        <v>900</v>
      </c>
      <c r="E25" s="7" t="n">
        <v>700</v>
      </c>
      <c r="F25" s="7" t="n">
        <v>100</v>
      </c>
      <c r="G25" s="7" t="n">
        <v>100</v>
      </c>
      <c r="H25" s="7" t="n">
        <v>60</v>
      </c>
      <c r="I25" s="8" t="n">
        <f aca="false">D25+E25+F25+G25+H25</f>
        <v>1860</v>
      </c>
      <c r="J25" s="9" t="n">
        <f aca="false">C25-I25</f>
        <v>639</v>
      </c>
      <c r="K25" s="10" t="n">
        <f aca="false">IF(C25&gt;0,J25/C25,0)</f>
        <v>0.255702280912365</v>
      </c>
      <c r="L25" s="11" t="n">
        <v>200</v>
      </c>
      <c r="M25" s="12" t="n">
        <f aca="false">C25*L25</f>
        <v>499800</v>
      </c>
      <c r="N25" s="9" t="n">
        <f aca="false">J25*L25</f>
        <v>127800</v>
      </c>
      <c r="O25" s="13" t="s">
        <v>60</v>
      </c>
    </row>
    <row r="26" customFormat="false" ht="21.75" hidden="false" customHeight="true" outlineLevel="0" collapsed="false">
      <c r="A26" s="14" t="s">
        <v>61</v>
      </c>
      <c r="B26" s="23" t="s">
        <v>59</v>
      </c>
      <c r="C26" s="7" t="n">
        <v>799</v>
      </c>
      <c r="D26" s="7" t="n">
        <v>35</v>
      </c>
      <c r="E26" s="7" t="n">
        <v>350</v>
      </c>
      <c r="F26" s="7" t="n">
        <v>50</v>
      </c>
      <c r="G26" s="7" t="n">
        <v>80</v>
      </c>
      <c r="H26" s="7" t="n">
        <v>30</v>
      </c>
      <c r="I26" s="8" t="n">
        <f aca="false">D26+E26+F26+G26+H26</f>
        <v>545</v>
      </c>
      <c r="J26" s="9" t="n">
        <f aca="false">C26-I26</f>
        <v>254</v>
      </c>
      <c r="K26" s="10" t="n">
        <f aca="false">IF(C26&gt;0,J26/C26,0)</f>
        <v>0.317897371714643</v>
      </c>
      <c r="L26" s="11" t="n">
        <v>300</v>
      </c>
      <c r="M26" s="12" t="n">
        <f aca="false">C26*L26</f>
        <v>239700</v>
      </c>
      <c r="N26" s="9" t="n">
        <f aca="false">J26*L26</f>
        <v>76200</v>
      </c>
      <c r="O26" s="15" t="s">
        <v>62</v>
      </c>
    </row>
    <row r="27" customFormat="false" ht="21.75" hidden="false" customHeight="true" outlineLevel="0" collapsed="false">
      <c r="A27" s="5" t="s">
        <v>63</v>
      </c>
      <c r="B27" s="23" t="s">
        <v>59</v>
      </c>
      <c r="C27" s="7" t="n">
        <v>699</v>
      </c>
      <c r="D27" s="7" t="n">
        <v>80</v>
      </c>
      <c r="E27" s="7" t="n">
        <v>300</v>
      </c>
      <c r="F27" s="7" t="n">
        <v>50</v>
      </c>
      <c r="G27" s="7" t="n">
        <v>80</v>
      </c>
      <c r="H27" s="7" t="n">
        <v>30</v>
      </c>
      <c r="I27" s="8" t="n">
        <f aca="false">D27+E27+F27+G27+H27</f>
        <v>540</v>
      </c>
      <c r="J27" s="9" t="n">
        <f aca="false">C27-I27</f>
        <v>159</v>
      </c>
      <c r="K27" s="10" t="n">
        <f aca="false">IF(C27&gt;0,J27/C27,0)</f>
        <v>0.227467811158798</v>
      </c>
      <c r="L27" s="11" t="n">
        <v>200</v>
      </c>
      <c r="M27" s="12" t="n">
        <f aca="false">C27*L27</f>
        <v>139800</v>
      </c>
      <c r="N27" s="9" t="n">
        <f aca="false">J27*L27</f>
        <v>31800</v>
      </c>
      <c r="O27" s="13" t="s">
        <v>64</v>
      </c>
    </row>
    <row r="28" customFormat="false" ht="21.75" hidden="false" customHeight="true" outlineLevel="0" collapsed="false">
      <c r="A28" s="14" t="s">
        <v>65</v>
      </c>
      <c r="B28" s="23" t="s">
        <v>59</v>
      </c>
      <c r="C28" s="7" t="n">
        <v>1499</v>
      </c>
      <c r="D28" s="7" t="n">
        <v>120</v>
      </c>
      <c r="E28" s="7" t="n">
        <v>500</v>
      </c>
      <c r="F28" s="7" t="n">
        <v>80</v>
      </c>
      <c r="G28" s="7" t="n">
        <v>80</v>
      </c>
      <c r="H28" s="7" t="n">
        <v>40</v>
      </c>
      <c r="I28" s="8" t="n">
        <f aca="false">D28+E28+F28+G28+H28</f>
        <v>820</v>
      </c>
      <c r="J28" s="9" t="n">
        <f aca="false">C28-I28</f>
        <v>679</v>
      </c>
      <c r="K28" s="10" t="n">
        <f aca="false">IF(C28&gt;0,J28/C28,0)</f>
        <v>0.452968645763843</v>
      </c>
      <c r="L28" s="11" t="n">
        <v>80</v>
      </c>
      <c r="M28" s="12" t="n">
        <f aca="false">C28*L28</f>
        <v>119920</v>
      </c>
      <c r="N28" s="9" t="n">
        <f aca="false">J28*L28</f>
        <v>54320</v>
      </c>
      <c r="O28" s="15" t="s">
        <v>66</v>
      </c>
    </row>
    <row r="29" customFormat="false" ht="21.75" hidden="false" customHeight="true" outlineLevel="0" collapsed="false">
      <c r="A29" s="5" t="s">
        <v>67</v>
      </c>
      <c r="B29" s="23" t="s">
        <v>59</v>
      </c>
      <c r="C29" s="7" t="n">
        <v>899</v>
      </c>
      <c r="D29" s="7" t="n">
        <v>80</v>
      </c>
      <c r="E29" s="7" t="n">
        <v>350</v>
      </c>
      <c r="F29" s="7" t="n">
        <v>60</v>
      </c>
      <c r="G29" s="7" t="n">
        <v>80</v>
      </c>
      <c r="H29" s="7" t="n">
        <v>40</v>
      </c>
      <c r="I29" s="8" t="n">
        <f aca="false">D29+E29+F29+G29+H29</f>
        <v>610</v>
      </c>
      <c r="J29" s="9" t="n">
        <f aca="false">C29-I29</f>
        <v>289</v>
      </c>
      <c r="K29" s="10" t="n">
        <f aca="false">IF(C29&gt;0,J29/C29,0)</f>
        <v>0.32146829810901</v>
      </c>
      <c r="L29" s="11" t="n">
        <v>150</v>
      </c>
      <c r="M29" s="12" t="n">
        <f aca="false">C29*L29</f>
        <v>134850</v>
      </c>
      <c r="N29" s="9" t="n">
        <f aca="false">J29*L29</f>
        <v>43350</v>
      </c>
      <c r="O29" s="13" t="s">
        <v>68</v>
      </c>
    </row>
    <row r="30" customFormat="false" ht="18" hidden="false" customHeight="true" outlineLevel="0" collapsed="false">
      <c r="A30" s="24" t="s">
        <v>69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customFormat="false" ht="21.75" hidden="false" customHeight="true" outlineLevel="0" collapsed="false">
      <c r="A31" s="5" t="s">
        <v>70</v>
      </c>
      <c r="B31" s="25" t="s">
        <v>71</v>
      </c>
      <c r="C31" s="7" t="n">
        <v>2999</v>
      </c>
      <c r="D31" s="7" t="n">
        <v>600</v>
      </c>
      <c r="E31" s="7" t="n">
        <v>400</v>
      </c>
      <c r="F31" s="7" t="n">
        <v>80</v>
      </c>
      <c r="G31" s="7" t="n">
        <v>100</v>
      </c>
      <c r="H31" s="7" t="n">
        <v>50</v>
      </c>
      <c r="I31" s="8" t="n">
        <f aca="false">D31+E31+F31+G31+H31</f>
        <v>1230</v>
      </c>
      <c r="J31" s="9" t="n">
        <f aca="false">C31-I31</f>
        <v>1769</v>
      </c>
      <c r="K31" s="10" t="n">
        <f aca="false">IF(C31&gt;0,J31/C31,0)</f>
        <v>0.589863287762588</v>
      </c>
      <c r="L31" s="11" t="n">
        <v>120</v>
      </c>
      <c r="M31" s="12" t="n">
        <f aca="false">C31*L31</f>
        <v>359880</v>
      </c>
      <c r="N31" s="9" t="n">
        <f aca="false">J31*L31</f>
        <v>212280</v>
      </c>
      <c r="O31" s="13" t="s">
        <v>72</v>
      </c>
    </row>
    <row r="32" customFormat="false" ht="21.75" hidden="false" customHeight="true" outlineLevel="0" collapsed="false">
      <c r="A32" s="14" t="s">
        <v>73</v>
      </c>
      <c r="B32" s="25" t="s">
        <v>71</v>
      </c>
      <c r="C32" s="7" t="n">
        <v>499</v>
      </c>
      <c r="D32" s="7" t="n">
        <v>30</v>
      </c>
      <c r="E32" s="7" t="n">
        <v>350</v>
      </c>
      <c r="F32" s="7" t="n">
        <v>50</v>
      </c>
      <c r="G32" s="7" t="n">
        <v>80</v>
      </c>
      <c r="H32" s="7" t="n">
        <v>30</v>
      </c>
      <c r="I32" s="8" t="n">
        <f aca="false">D32+E32+F32+G32+H32</f>
        <v>540</v>
      </c>
      <c r="J32" s="9" t="n">
        <f aca="false">C32-I32</f>
        <v>-41</v>
      </c>
      <c r="K32" s="10" t="n">
        <f aca="false">IF(C32&gt;0,J32/C32,0)</f>
        <v>-0.0821643286573146</v>
      </c>
      <c r="L32" s="11" t="n">
        <v>200</v>
      </c>
      <c r="M32" s="12" t="n">
        <f aca="false">C32*L32</f>
        <v>99800</v>
      </c>
      <c r="N32" s="9" t="n">
        <f aca="false">J32*L32</f>
        <v>-8200</v>
      </c>
      <c r="O32" s="15" t="s">
        <v>74</v>
      </c>
    </row>
    <row r="33" customFormat="false" ht="21.75" hidden="false" customHeight="true" outlineLevel="0" collapsed="false">
      <c r="A33" s="5" t="s">
        <v>75</v>
      </c>
      <c r="B33" s="25" t="s">
        <v>71</v>
      </c>
      <c r="C33" s="7" t="n">
        <v>399</v>
      </c>
      <c r="D33" s="7" t="n">
        <v>25</v>
      </c>
      <c r="E33" s="7" t="n">
        <v>300</v>
      </c>
      <c r="F33" s="7" t="n">
        <v>40</v>
      </c>
      <c r="G33" s="7" t="n">
        <v>80</v>
      </c>
      <c r="H33" s="7" t="n">
        <v>20</v>
      </c>
      <c r="I33" s="8" t="n">
        <f aca="false">D33+E33+F33+G33+H33</f>
        <v>465</v>
      </c>
      <c r="J33" s="9" t="n">
        <f aca="false">C33-I33</f>
        <v>-66</v>
      </c>
      <c r="K33" s="10" t="n">
        <f aca="false">IF(C33&gt;0,J33/C33,0)</f>
        <v>-0.165413533834586</v>
      </c>
      <c r="L33" s="11" t="n">
        <v>150</v>
      </c>
      <c r="M33" s="12" t="n">
        <f aca="false">C33*L33</f>
        <v>59850</v>
      </c>
      <c r="N33" s="9" t="n">
        <f aca="false">J33*L33</f>
        <v>-9900</v>
      </c>
      <c r="O33" s="13" t="s">
        <v>76</v>
      </c>
    </row>
    <row r="34" customFormat="false" ht="21.75" hidden="false" customHeight="true" outlineLevel="0" collapsed="false">
      <c r="A34" s="14" t="s">
        <v>77</v>
      </c>
      <c r="B34" s="25" t="s">
        <v>71</v>
      </c>
      <c r="C34" s="7" t="n">
        <v>1999</v>
      </c>
      <c r="D34" s="7" t="n">
        <v>200</v>
      </c>
      <c r="E34" s="7" t="n">
        <v>400</v>
      </c>
      <c r="F34" s="7" t="n">
        <v>60</v>
      </c>
      <c r="G34" s="7" t="n">
        <v>80</v>
      </c>
      <c r="H34" s="7" t="n">
        <v>40</v>
      </c>
      <c r="I34" s="8" t="n">
        <f aca="false">D34+E34+F34+G34+H34</f>
        <v>780</v>
      </c>
      <c r="J34" s="9" t="n">
        <f aca="false">C34-I34</f>
        <v>1219</v>
      </c>
      <c r="K34" s="10" t="n">
        <f aca="false">IF(C34&gt;0,J34/C34,0)</f>
        <v>0.609804902451226</v>
      </c>
      <c r="L34" s="11" t="n">
        <v>50</v>
      </c>
      <c r="M34" s="12" t="n">
        <f aca="false">C34*L34</f>
        <v>99950</v>
      </c>
      <c r="N34" s="9" t="n">
        <f aca="false">J34*L34</f>
        <v>60950</v>
      </c>
      <c r="O34" s="15" t="s">
        <v>78</v>
      </c>
    </row>
    <row r="35" customFormat="false" ht="21.75" hidden="false" customHeight="true" outlineLevel="0" collapsed="false">
      <c r="A35" s="5" t="s">
        <v>79</v>
      </c>
      <c r="B35" s="25" t="s">
        <v>71</v>
      </c>
      <c r="C35" s="7" t="n">
        <v>699</v>
      </c>
      <c r="D35" s="7" t="n">
        <v>30</v>
      </c>
      <c r="E35" s="7" t="n">
        <v>500</v>
      </c>
      <c r="F35" s="7" t="n">
        <v>50</v>
      </c>
      <c r="G35" s="7" t="n">
        <v>80</v>
      </c>
      <c r="H35" s="7" t="n">
        <v>30</v>
      </c>
      <c r="I35" s="8" t="n">
        <f aca="false">D35+E35+F35+G35+H35</f>
        <v>690</v>
      </c>
      <c r="J35" s="9" t="n">
        <f aca="false">C35-I35</f>
        <v>9</v>
      </c>
      <c r="K35" s="10" t="n">
        <f aca="false">IF(C35&gt;0,J35/C35,0)</f>
        <v>0.0128755364806867</v>
      </c>
      <c r="L35" s="11" t="n">
        <v>100</v>
      </c>
      <c r="M35" s="12" t="n">
        <f aca="false">C35*L35</f>
        <v>69900</v>
      </c>
      <c r="N35" s="9" t="n">
        <f aca="false">J35*L35</f>
        <v>900</v>
      </c>
      <c r="O35" s="13" t="s">
        <v>80</v>
      </c>
    </row>
    <row r="36" customFormat="false" ht="21.75" hidden="false" customHeight="true" outlineLevel="0" collapsed="false">
      <c r="A36" s="14" t="s">
        <v>81</v>
      </c>
      <c r="B36" s="25" t="s">
        <v>71</v>
      </c>
      <c r="C36" s="7" t="n">
        <v>499</v>
      </c>
      <c r="D36" s="7" t="n">
        <v>40</v>
      </c>
      <c r="E36" s="7" t="n">
        <v>300</v>
      </c>
      <c r="F36" s="7" t="n">
        <v>50</v>
      </c>
      <c r="G36" s="7" t="n">
        <v>80</v>
      </c>
      <c r="H36" s="7" t="n">
        <v>30</v>
      </c>
      <c r="I36" s="8" t="n">
        <f aca="false">D36+E36+F36+G36+H36</f>
        <v>500</v>
      </c>
      <c r="J36" s="9" t="n">
        <f aca="false">C36-I36</f>
        <v>-1</v>
      </c>
      <c r="K36" s="10" t="n">
        <f aca="false">IF(C36&gt;0,J36/C36,0)</f>
        <v>-0.00200400801603206</v>
      </c>
      <c r="L36" s="11" t="n">
        <v>120</v>
      </c>
      <c r="M36" s="12" t="n">
        <f aca="false">C36*L36</f>
        <v>59880</v>
      </c>
      <c r="N36" s="9" t="n">
        <f aca="false">J36*L36</f>
        <v>-120</v>
      </c>
      <c r="O36" s="15" t="s">
        <v>82</v>
      </c>
    </row>
    <row r="37" customFormat="false" ht="24" hidden="false" customHeight="true" outlineLevel="0" collapsed="false">
      <c r="A37" s="26" t="s">
        <v>83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 t="n">
        <f aca="false">SUM(M4:M36)</f>
        <v>4826755</v>
      </c>
      <c r="N37" s="27" t="n">
        <f aca="false">SUM(N4:N36)</f>
        <v>2238805</v>
      </c>
    </row>
    <row r="39" customFormat="false" ht="19.5" hidden="false" customHeight="true" outlineLevel="0" collapsed="false">
      <c r="A39" s="28" t="s">
        <v>84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9"/>
      <c r="N39" s="30" t="n">
        <f aca="false">IF(M37&gt;0,N37/M37,0)</f>
        <v>0.463832326273034</v>
      </c>
    </row>
  </sheetData>
  <mergeCells count="10">
    <mergeCell ref="A1:O1"/>
    <mergeCell ref="A2:O2"/>
    <mergeCell ref="A4:O4"/>
    <mergeCell ref="A8:O8"/>
    <mergeCell ref="A13:O13"/>
    <mergeCell ref="A18:O18"/>
    <mergeCell ref="A24:O24"/>
    <mergeCell ref="A30:O30"/>
    <mergeCell ref="A37:L37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5" min="2" style="0" width="13"/>
  </cols>
  <sheetData>
    <row r="1" customFormat="false" ht="36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1" t="s">
        <v>87</v>
      </c>
      <c r="B3" s="32" t="s">
        <v>88</v>
      </c>
      <c r="C3" s="32" t="s">
        <v>89</v>
      </c>
      <c r="D3" s="32" t="s">
        <v>90</v>
      </c>
      <c r="E3" s="32" t="s">
        <v>91</v>
      </c>
      <c r="F3" s="32" t="s">
        <v>92</v>
      </c>
      <c r="G3" s="32" t="s">
        <v>93</v>
      </c>
      <c r="H3" s="32" t="s">
        <v>94</v>
      </c>
      <c r="I3" s="32" t="s">
        <v>95</v>
      </c>
      <c r="J3" s="32" t="s">
        <v>96</v>
      </c>
      <c r="K3" s="32" t="s">
        <v>97</v>
      </c>
      <c r="L3" s="32" t="s">
        <v>98</v>
      </c>
      <c r="M3" s="32" t="s">
        <v>99</v>
      </c>
      <c r="N3" s="32" t="s">
        <v>100</v>
      </c>
      <c r="O3" s="32" t="s">
        <v>101</v>
      </c>
      <c r="P3" s="32" t="s">
        <v>102</v>
      </c>
      <c r="Q3" s="32" t="s">
        <v>103</v>
      </c>
      <c r="R3" s="32" t="s">
        <v>104</v>
      </c>
      <c r="S3" s="32" t="s">
        <v>105</v>
      </c>
      <c r="T3" s="32" t="s">
        <v>106</v>
      </c>
      <c r="U3" s="32" t="s">
        <v>107</v>
      </c>
      <c r="V3" s="32" t="s">
        <v>108</v>
      </c>
      <c r="W3" s="32" t="s">
        <v>109</v>
      </c>
      <c r="X3" s="32" t="s">
        <v>110</v>
      </c>
      <c r="Y3" s="32" t="s">
        <v>111</v>
      </c>
    </row>
    <row r="4" customFormat="false" ht="36" hidden="false" customHeight="true" outlineLevel="0" collapsed="false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customFormat="false" ht="19.5" hidden="false" customHeight="true" outlineLevel="0" collapsed="false">
      <c r="A5" s="33" t="s">
        <v>112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customFormat="false" ht="19.5" hidden="false" customHeight="true" outlineLevel="0" collapsed="false">
      <c r="A6" s="35" t="s">
        <v>113</v>
      </c>
      <c r="B6" s="11" t="n">
        <v>30</v>
      </c>
      <c r="C6" s="11" t="n">
        <v>50</v>
      </c>
      <c r="D6" s="11" t="n">
        <v>80</v>
      </c>
      <c r="E6" s="11" t="n">
        <v>100</v>
      </c>
      <c r="F6" s="11" t="n">
        <v>120</v>
      </c>
      <c r="G6" s="11" t="n">
        <v>150</v>
      </c>
      <c r="H6" s="11" t="n">
        <v>180</v>
      </c>
      <c r="I6" s="11" t="n">
        <v>200</v>
      </c>
      <c r="J6" s="11" t="n">
        <v>220</v>
      </c>
      <c r="K6" s="11" t="n">
        <v>250</v>
      </c>
      <c r="L6" s="11" t="n">
        <v>280</v>
      </c>
      <c r="M6" s="11" t="n">
        <v>300</v>
      </c>
      <c r="N6" s="11" t="n">
        <v>320</v>
      </c>
      <c r="O6" s="11" t="n">
        <v>340</v>
      </c>
      <c r="P6" s="11" t="n">
        <v>360</v>
      </c>
      <c r="Q6" s="11" t="n">
        <v>380</v>
      </c>
      <c r="R6" s="11" t="n">
        <v>400</v>
      </c>
      <c r="S6" s="11" t="n">
        <v>420</v>
      </c>
      <c r="T6" s="11" t="n">
        <v>440</v>
      </c>
      <c r="U6" s="11" t="n">
        <v>460</v>
      </c>
      <c r="V6" s="11" t="n">
        <v>480</v>
      </c>
      <c r="W6" s="11" t="n">
        <v>500</v>
      </c>
      <c r="X6" s="11" t="n">
        <v>520</v>
      </c>
      <c r="Y6" s="11" t="n">
        <v>550</v>
      </c>
    </row>
    <row r="7" customFormat="false" ht="19.5" hidden="false" customHeight="true" outlineLevel="0" collapsed="false">
      <c r="A7" s="35" t="s">
        <v>114</v>
      </c>
      <c r="B7" s="36" t="n">
        <v>0.12</v>
      </c>
      <c r="C7" s="36" t="n">
        <v>0.12</v>
      </c>
      <c r="D7" s="36" t="n">
        <v>0.12</v>
      </c>
      <c r="E7" s="36" t="n">
        <v>0.12</v>
      </c>
      <c r="F7" s="36" t="n">
        <v>0.12</v>
      </c>
      <c r="G7" s="36" t="n">
        <v>0.12</v>
      </c>
      <c r="H7" s="36" t="n">
        <v>0.12</v>
      </c>
      <c r="I7" s="36" t="n">
        <v>0.12</v>
      </c>
      <c r="J7" s="36" t="n">
        <v>0.12</v>
      </c>
      <c r="K7" s="36" t="n">
        <v>0.12</v>
      </c>
      <c r="L7" s="36" t="n">
        <v>0.12</v>
      </c>
      <c r="M7" s="36" t="n">
        <v>0.12</v>
      </c>
      <c r="N7" s="36" t="n">
        <v>0.12</v>
      </c>
      <c r="O7" s="36" t="n">
        <v>0.12</v>
      </c>
      <c r="P7" s="36" t="n">
        <v>0.12</v>
      </c>
      <c r="Q7" s="36" t="n">
        <v>0.12</v>
      </c>
      <c r="R7" s="36" t="n">
        <v>0.12</v>
      </c>
      <c r="S7" s="36" t="n">
        <v>0.12</v>
      </c>
      <c r="T7" s="36" t="n">
        <v>0.12</v>
      </c>
      <c r="U7" s="36" t="n">
        <v>0.12</v>
      </c>
      <c r="V7" s="36" t="n">
        <v>0.12</v>
      </c>
      <c r="W7" s="36" t="n">
        <v>0.12</v>
      </c>
      <c r="X7" s="36" t="n">
        <v>0.12</v>
      </c>
      <c r="Y7" s="36" t="n">
        <v>0.12</v>
      </c>
    </row>
    <row r="8" customFormat="false" ht="19.5" hidden="false" customHeight="true" outlineLevel="0" collapsed="false">
      <c r="A8" s="37" t="s">
        <v>115</v>
      </c>
      <c r="B8" s="38" t="n">
        <f aca="false">B6</f>
        <v>30</v>
      </c>
      <c r="C8" s="38" t="n">
        <f aca="false">ROUND(B8*(1-C7)+C6,0)</f>
        <v>76</v>
      </c>
      <c r="D8" s="38" t="n">
        <f aca="false">ROUND(C8*(1-D7)+D6,0)</f>
        <v>147</v>
      </c>
      <c r="E8" s="38" t="n">
        <f aca="false">ROUND(D8*(1-E7)+E6,0)</f>
        <v>229</v>
      </c>
      <c r="F8" s="38" t="n">
        <f aca="false">ROUND(E8*(1-F7)+F6,0)</f>
        <v>322</v>
      </c>
      <c r="G8" s="38" t="n">
        <f aca="false">ROUND(F8*(1-G7)+G6,0)</f>
        <v>433</v>
      </c>
      <c r="H8" s="38" t="n">
        <f aca="false">ROUND(G8*(1-H7)+H6,0)</f>
        <v>561</v>
      </c>
      <c r="I8" s="38" t="n">
        <f aca="false">ROUND(H8*(1-I7)+I6,0)</f>
        <v>694</v>
      </c>
      <c r="J8" s="38" t="n">
        <f aca="false">ROUND(I8*(1-J7)+J6,0)</f>
        <v>831</v>
      </c>
      <c r="K8" s="38" t="n">
        <f aca="false">ROUND(J8*(1-K7)+K6,0)</f>
        <v>981</v>
      </c>
      <c r="L8" s="38" t="n">
        <f aca="false">ROUND(K8*(1-L7)+L6,0)</f>
        <v>1143</v>
      </c>
      <c r="M8" s="38" t="n">
        <f aca="false">ROUND(L8*(1-M7)+M6,0)</f>
        <v>1306</v>
      </c>
      <c r="N8" s="38" t="n">
        <f aca="false">ROUND(M8*(1-N7)+N6,0)</f>
        <v>1469</v>
      </c>
      <c r="O8" s="38" t="n">
        <f aca="false">ROUND(N8*(1-O7)+O6,0)</f>
        <v>1633</v>
      </c>
      <c r="P8" s="38" t="n">
        <f aca="false">ROUND(O8*(1-P7)+P6,0)</f>
        <v>1797</v>
      </c>
      <c r="Q8" s="38" t="n">
        <f aca="false">ROUND(P8*(1-Q7)+Q6,0)</f>
        <v>1961</v>
      </c>
      <c r="R8" s="38" t="n">
        <f aca="false">ROUND(Q8*(1-R7)+R6,0)</f>
        <v>2126</v>
      </c>
      <c r="S8" s="38" t="n">
        <f aca="false">ROUND(R8*(1-S7)+S6,0)</f>
        <v>2291</v>
      </c>
      <c r="T8" s="38" t="n">
        <f aca="false">ROUND(S8*(1-T7)+T6,0)</f>
        <v>2456</v>
      </c>
      <c r="U8" s="38" t="n">
        <f aca="false">ROUND(T8*(1-U7)+U6,0)</f>
        <v>2621</v>
      </c>
      <c r="V8" s="38" t="n">
        <f aca="false">ROUND(U8*(1-V7)+V6,0)</f>
        <v>2786</v>
      </c>
      <c r="W8" s="38" t="n">
        <f aca="false">ROUND(V8*(1-W7)+W6,0)</f>
        <v>2952</v>
      </c>
      <c r="X8" s="38" t="n">
        <f aca="false">ROUND(W8*(1-X7)+X6,0)</f>
        <v>3118</v>
      </c>
      <c r="Y8" s="38" t="n">
        <f aca="false">ROUND(X8*(1-Y7)+Y6,0)</f>
        <v>3294</v>
      </c>
    </row>
    <row r="9" customFormat="false" ht="19.5" hidden="false" customHeight="true" outlineLevel="0" collapsed="false">
      <c r="A9" s="33" t="s">
        <v>116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customFormat="false" ht="19.5" hidden="false" customHeight="true" outlineLevel="0" collapsed="false">
      <c r="A10" s="35" t="s">
        <v>117</v>
      </c>
      <c r="B10" s="7" t="n">
        <v>1650</v>
      </c>
      <c r="C10" s="7" t="n">
        <v>1650</v>
      </c>
      <c r="D10" s="7" t="n">
        <v>1650</v>
      </c>
      <c r="E10" s="7" t="n">
        <v>1650</v>
      </c>
      <c r="F10" s="7" t="n">
        <v>1650</v>
      </c>
      <c r="G10" s="7" t="n">
        <v>1650</v>
      </c>
      <c r="H10" s="7" t="n">
        <v>1650</v>
      </c>
      <c r="I10" s="7" t="n">
        <v>1650</v>
      </c>
      <c r="J10" s="7" t="n">
        <v>1650</v>
      </c>
      <c r="K10" s="7" t="n">
        <v>1650</v>
      </c>
      <c r="L10" s="7" t="n">
        <v>1650</v>
      </c>
      <c r="M10" s="7" t="n">
        <v>1650</v>
      </c>
      <c r="N10" s="7" t="n">
        <v>1650</v>
      </c>
      <c r="O10" s="7" t="n">
        <v>1650</v>
      </c>
      <c r="P10" s="7" t="n">
        <v>1650</v>
      </c>
      <c r="Q10" s="7" t="n">
        <v>1650</v>
      </c>
      <c r="R10" s="7" t="n">
        <v>1650</v>
      </c>
      <c r="S10" s="7" t="n">
        <v>1650</v>
      </c>
      <c r="T10" s="7" t="n">
        <v>1650</v>
      </c>
      <c r="U10" s="7" t="n">
        <v>1650</v>
      </c>
      <c r="V10" s="7" t="n">
        <v>1650</v>
      </c>
      <c r="W10" s="7" t="n">
        <v>1650</v>
      </c>
      <c r="X10" s="7" t="n">
        <v>1650</v>
      </c>
      <c r="Y10" s="7" t="n">
        <v>1650</v>
      </c>
    </row>
    <row r="11" customFormat="false" ht="19.5" hidden="false" customHeight="true" outlineLevel="0" collapsed="false">
      <c r="A11" s="39" t="s">
        <v>118</v>
      </c>
      <c r="B11" s="12" t="n">
        <f aca="false">B8*B10</f>
        <v>49500</v>
      </c>
      <c r="C11" s="12" t="n">
        <f aca="false">C8*C10</f>
        <v>125400</v>
      </c>
      <c r="D11" s="12" t="n">
        <f aca="false">D8*D10</f>
        <v>242550</v>
      </c>
      <c r="E11" s="12" t="n">
        <f aca="false">E8*E10</f>
        <v>377850</v>
      </c>
      <c r="F11" s="12" t="n">
        <f aca="false">F8*F10</f>
        <v>531300</v>
      </c>
      <c r="G11" s="12" t="n">
        <f aca="false">G8*G10</f>
        <v>714450</v>
      </c>
      <c r="H11" s="12" t="n">
        <f aca="false">H8*H10</f>
        <v>925650</v>
      </c>
      <c r="I11" s="12" t="n">
        <f aca="false">I8*I10</f>
        <v>1145100</v>
      </c>
      <c r="J11" s="12" t="n">
        <f aca="false">J8*J10</f>
        <v>1371150</v>
      </c>
      <c r="K11" s="12" t="n">
        <f aca="false">K8*K10</f>
        <v>1618650</v>
      </c>
      <c r="L11" s="12" t="n">
        <f aca="false">L8*L10</f>
        <v>1885950</v>
      </c>
      <c r="M11" s="12" t="n">
        <f aca="false">M8*M10</f>
        <v>2154900</v>
      </c>
      <c r="N11" s="12" t="n">
        <f aca="false">N8*N10</f>
        <v>2423850</v>
      </c>
      <c r="O11" s="12" t="n">
        <f aca="false">O8*O10</f>
        <v>2694450</v>
      </c>
      <c r="P11" s="12" t="n">
        <f aca="false">P8*P10</f>
        <v>2965050</v>
      </c>
      <c r="Q11" s="12" t="n">
        <f aca="false">Q8*Q10</f>
        <v>3235650</v>
      </c>
      <c r="R11" s="12" t="n">
        <f aca="false">R8*R10</f>
        <v>3507900</v>
      </c>
      <c r="S11" s="12" t="n">
        <f aca="false">S8*S10</f>
        <v>3780150</v>
      </c>
      <c r="T11" s="12" t="n">
        <f aca="false">T8*T10</f>
        <v>4052400</v>
      </c>
      <c r="U11" s="12" t="n">
        <f aca="false">U8*U10</f>
        <v>4324650</v>
      </c>
      <c r="V11" s="12" t="n">
        <f aca="false">V8*V10</f>
        <v>4596900</v>
      </c>
      <c r="W11" s="12" t="n">
        <f aca="false">W8*W10</f>
        <v>4870800</v>
      </c>
      <c r="X11" s="12" t="n">
        <f aca="false">X8*X10</f>
        <v>5144700</v>
      </c>
      <c r="Y11" s="12" t="n">
        <f aca="false">Y8*Y10</f>
        <v>5435100</v>
      </c>
    </row>
    <row r="12" customFormat="false" ht="19.5" hidden="false" customHeight="true" outlineLevel="0" collapsed="false">
      <c r="A12" s="40" t="s">
        <v>119</v>
      </c>
      <c r="B12" s="41" t="n">
        <f aca="false">B11*12</f>
        <v>594000</v>
      </c>
      <c r="C12" s="41" t="n">
        <f aca="false">C11*12</f>
        <v>1504800</v>
      </c>
      <c r="D12" s="41" t="n">
        <f aca="false">D11*12</f>
        <v>2910600</v>
      </c>
      <c r="E12" s="41" t="n">
        <f aca="false">E11*12</f>
        <v>4534200</v>
      </c>
      <c r="F12" s="41" t="n">
        <f aca="false">F11*12</f>
        <v>6375600</v>
      </c>
      <c r="G12" s="41" t="n">
        <f aca="false">G11*12</f>
        <v>8573400</v>
      </c>
      <c r="H12" s="41" t="n">
        <f aca="false">H11*12</f>
        <v>11107800</v>
      </c>
      <c r="I12" s="41" t="n">
        <f aca="false">I11*12</f>
        <v>13741200</v>
      </c>
      <c r="J12" s="41" t="n">
        <f aca="false">J11*12</f>
        <v>16453800</v>
      </c>
      <c r="K12" s="41" t="n">
        <f aca="false">K11*12</f>
        <v>19423800</v>
      </c>
      <c r="L12" s="41" t="n">
        <f aca="false">L11*12</f>
        <v>22631400</v>
      </c>
      <c r="M12" s="41" t="n">
        <f aca="false">M11*12</f>
        <v>25858800</v>
      </c>
      <c r="N12" s="41" t="n">
        <f aca="false">N11*12</f>
        <v>29086200</v>
      </c>
      <c r="O12" s="41" t="n">
        <f aca="false">O11*12</f>
        <v>32333400</v>
      </c>
      <c r="P12" s="41" t="n">
        <f aca="false">P11*12</f>
        <v>35580600</v>
      </c>
      <c r="Q12" s="41" t="n">
        <f aca="false">Q11*12</f>
        <v>38827800</v>
      </c>
      <c r="R12" s="41" t="n">
        <f aca="false">R11*12</f>
        <v>42094800</v>
      </c>
      <c r="S12" s="41" t="n">
        <f aca="false">S11*12</f>
        <v>45361800</v>
      </c>
      <c r="T12" s="41" t="n">
        <f aca="false">T11*12</f>
        <v>48628800</v>
      </c>
      <c r="U12" s="41" t="n">
        <f aca="false">U11*12</f>
        <v>51895800</v>
      </c>
      <c r="V12" s="41" t="n">
        <f aca="false">V11*12</f>
        <v>55162800</v>
      </c>
      <c r="W12" s="41" t="n">
        <f aca="false">W11*12</f>
        <v>58449600</v>
      </c>
      <c r="X12" s="41" t="n">
        <f aca="false">X11*12</f>
        <v>61736400</v>
      </c>
      <c r="Y12" s="41" t="n">
        <f aca="false">Y11*12</f>
        <v>65221200</v>
      </c>
    </row>
    <row r="13" customFormat="false" ht="19.5" hidden="false" customHeight="true" outlineLevel="0" collapsed="false">
      <c r="A13" s="33" t="s">
        <v>120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customFormat="false" ht="19.5" hidden="false" customHeight="true" outlineLevel="0" collapsed="false">
      <c r="A14" s="35" t="s">
        <v>121</v>
      </c>
      <c r="B14" s="36" t="n">
        <v>0.72</v>
      </c>
      <c r="C14" s="36" t="n">
        <v>0.72</v>
      </c>
      <c r="D14" s="36" t="n">
        <v>0.72</v>
      </c>
      <c r="E14" s="36" t="n">
        <v>0.72</v>
      </c>
      <c r="F14" s="36" t="n">
        <v>0.72</v>
      </c>
      <c r="G14" s="36" t="n">
        <v>0.72</v>
      </c>
      <c r="H14" s="36" t="n">
        <v>0.72</v>
      </c>
      <c r="I14" s="36" t="n">
        <v>0.72</v>
      </c>
      <c r="J14" s="36" t="n">
        <v>0.72</v>
      </c>
      <c r="K14" s="36" t="n">
        <v>0.72</v>
      </c>
      <c r="L14" s="36" t="n">
        <v>0.72</v>
      </c>
      <c r="M14" s="36" t="n">
        <v>0.72</v>
      </c>
      <c r="N14" s="36" t="n">
        <v>0.72</v>
      </c>
      <c r="O14" s="36" t="n">
        <v>0.72</v>
      </c>
      <c r="P14" s="36" t="n">
        <v>0.72</v>
      </c>
      <c r="Q14" s="36" t="n">
        <v>0.72</v>
      </c>
      <c r="R14" s="36" t="n">
        <v>0.72</v>
      </c>
      <c r="S14" s="36" t="n">
        <v>0.72</v>
      </c>
      <c r="T14" s="36" t="n">
        <v>0.72</v>
      </c>
      <c r="U14" s="36" t="n">
        <v>0.72</v>
      </c>
      <c r="V14" s="36" t="n">
        <v>0.72</v>
      </c>
      <c r="W14" s="36" t="n">
        <v>0.72</v>
      </c>
      <c r="X14" s="36" t="n">
        <v>0.72</v>
      </c>
      <c r="Y14" s="36" t="n">
        <v>0.72</v>
      </c>
    </row>
    <row r="15" customFormat="false" ht="19.5" hidden="false" customHeight="true" outlineLevel="0" collapsed="false">
      <c r="A15" s="42" t="s">
        <v>122</v>
      </c>
      <c r="B15" s="43" t="n">
        <f aca="false">B11*B14</f>
        <v>35640</v>
      </c>
      <c r="C15" s="43" t="n">
        <f aca="false">C11*C14</f>
        <v>90288</v>
      </c>
      <c r="D15" s="43" t="n">
        <f aca="false">D11*D14</f>
        <v>174636</v>
      </c>
      <c r="E15" s="43" t="n">
        <f aca="false">E11*E14</f>
        <v>272052</v>
      </c>
      <c r="F15" s="43" t="n">
        <f aca="false">F11*F14</f>
        <v>382536</v>
      </c>
      <c r="G15" s="43" t="n">
        <f aca="false">G11*G14</f>
        <v>514404</v>
      </c>
      <c r="H15" s="43" t="n">
        <f aca="false">H11*H14</f>
        <v>666468</v>
      </c>
      <c r="I15" s="43" t="n">
        <f aca="false">I11*I14</f>
        <v>824472</v>
      </c>
      <c r="J15" s="43" t="n">
        <f aca="false">J11*J14</f>
        <v>987228</v>
      </c>
      <c r="K15" s="43" t="n">
        <f aca="false">K11*K14</f>
        <v>1165428</v>
      </c>
      <c r="L15" s="43" t="n">
        <f aca="false">L11*L14</f>
        <v>1357884</v>
      </c>
      <c r="M15" s="43" t="n">
        <f aca="false">M11*M14</f>
        <v>1551528</v>
      </c>
      <c r="N15" s="43" t="n">
        <f aca="false">N11*N14</f>
        <v>1745172</v>
      </c>
      <c r="O15" s="43" t="n">
        <f aca="false">O11*O14</f>
        <v>1940004</v>
      </c>
      <c r="P15" s="43" t="n">
        <f aca="false">P11*P14</f>
        <v>2134836</v>
      </c>
      <c r="Q15" s="43" t="n">
        <f aca="false">Q11*Q14</f>
        <v>2329668</v>
      </c>
      <c r="R15" s="43" t="n">
        <f aca="false">R11*R14</f>
        <v>2525688</v>
      </c>
      <c r="S15" s="43" t="n">
        <f aca="false">S11*S14</f>
        <v>2721708</v>
      </c>
      <c r="T15" s="43" t="n">
        <f aca="false">T11*T14</f>
        <v>2917728</v>
      </c>
      <c r="U15" s="43" t="n">
        <f aca="false">U11*U14</f>
        <v>3113748</v>
      </c>
      <c r="V15" s="43" t="n">
        <f aca="false">V11*V14</f>
        <v>3309768</v>
      </c>
      <c r="W15" s="43" t="n">
        <f aca="false">W11*W14</f>
        <v>3506976</v>
      </c>
      <c r="X15" s="43" t="n">
        <f aca="false">X11*X14</f>
        <v>3704184</v>
      </c>
      <c r="Y15" s="43" t="n">
        <f aca="false">Y11*Y14</f>
        <v>3913272</v>
      </c>
    </row>
    <row r="16" customFormat="false" ht="19.5" hidden="false" customHeight="true" outlineLevel="0" collapsed="false">
      <c r="A16" s="33" t="s">
        <v>123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customFormat="false" ht="19.5" hidden="false" customHeight="true" outlineLevel="0" collapsed="false">
      <c r="A17" s="35" t="s">
        <v>124</v>
      </c>
      <c r="B17" s="7" t="n">
        <v>80000</v>
      </c>
      <c r="C17" s="7" t="n">
        <v>100000</v>
      </c>
      <c r="D17" s="7" t="n">
        <v>120000</v>
      </c>
      <c r="E17" s="7" t="n">
        <v>140000</v>
      </c>
      <c r="F17" s="7" t="n">
        <v>160000</v>
      </c>
      <c r="G17" s="7" t="n">
        <v>180000</v>
      </c>
      <c r="H17" s="7" t="n">
        <v>200000</v>
      </c>
      <c r="I17" s="7" t="n">
        <v>220000</v>
      </c>
      <c r="J17" s="7" t="n">
        <v>240000</v>
      </c>
      <c r="K17" s="7" t="n">
        <v>260000</v>
      </c>
      <c r="L17" s="7" t="n">
        <v>280000</v>
      </c>
      <c r="M17" s="7" t="n">
        <v>300000</v>
      </c>
      <c r="N17" s="7" t="n">
        <v>320000</v>
      </c>
      <c r="O17" s="7" t="n">
        <v>340000</v>
      </c>
      <c r="P17" s="7" t="n">
        <v>360000</v>
      </c>
      <c r="Q17" s="7" t="n">
        <v>380000</v>
      </c>
      <c r="R17" s="7" t="n">
        <v>400000</v>
      </c>
      <c r="S17" s="7" t="n">
        <v>420000</v>
      </c>
      <c r="T17" s="7" t="n">
        <v>440000</v>
      </c>
      <c r="U17" s="7" t="n">
        <v>460000</v>
      </c>
      <c r="V17" s="7" t="n">
        <v>480000</v>
      </c>
      <c r="W17" s="7" t="n">
        <v>500000</v>
      </c>
      <c r="X17" s="7" t="n">
        <v>520000</v>
      </c>
      <c r="Y17" s="7" t="n">
        <v>550000</v>
      </c>
    </row>
    <row r="18" customFormat="false" ht="19.5" hidden="false" customHeight="true" outlineLevel="0" collapsed="false">
      <c r="A18" s="35" t="s">
        <v>125</v>
      </c>
      <c r="B18" s="7" t="n">
        <v>200000</v>
      </c>
      <c r="C18" s="7" t="n">
        <v>250000</v>
      </c>
      <c r="D18" s="7" t="n">
        <v>350000</v>
      </c>
      <c r="E18" s="7" t="n">
        <v>450000</v>
      </c>
      <c r="F18" s="7" t="n">
        <v>550000</v>
      </c>
      <c r="G18" s="7" t="n">
        <v>650000</v>
      </c>
      <c r="H18" s="7" t="n">
        <v>750000</v>
      </c>
      <c r="I18" s="7" t="n">
        <v>850000</v>
      </c>
      <c r="J18" s="7" t="n">
        <v>950000</v>
      </c>
      <c r="K18" s="7" t="n">
        <v>1100000</v>
      </c>
      <c r="L18" s="7" t="n">
        <v>1200000</v>
      </c>
      <c r="M18" s="7" t="n">
        <v>1300000</v>
      </c>
      <c r="N18" s="7" t="n">
        <v>1400000</v>
      </c>
      <c r="O18" s="7" t="n">
        <v>1500000</v>
      </c>
      <c r="P18" s="7" t="n">
        <v>1600000</v>
      </c>
      <c r="Q18" s="7" t="n">
        <v>1700000</v>
      </c>
      <c r="R18" s="7" t="n">
        <v>1800000</v>
      </c>
      <c r="S18" s="7" t="n">
        <v>1900000</v>
      </c>
      <c r="T18" s="7" t="n">
        <v>2000000</v>
      </c>
      <c r="U18" s="7" t="n">
        <v>2100000</v>
      </c>
      <c r="V18" s="7" t="n">
        <v>2200000</v>
      </c>
      <c r="W18" s="7" t="n">
        <v>2300000</v>
      </c>
      <c r="X18" s="7" t="n">
        <v>2400000</v>
      </c>
      <c r="Y18" s="7" t="n">
        <v>2500000</v>
      </c>
    </row>
    <row r="19" customFormat="false" ht="19.5" hidden="false" customHeight="true" outlineLevel="0" collapsed="false">
      <c r="A19" s="35" t="s">
        <v>126</v>
      </c>
      <c r="B19" s="7" t="n">
        <v>30000</v>
      </c>
      <c r="C19" s="7" t="n">
        <v>30000</v>
      </c>
      <c r="D19" s="7" t="n">
        <v>30000</v>
      </c>
      <c r="E19" s="7" t="n">
        <v>30000</v>
      </c>
      <c r="F19" s="7" t="n">
        <v>30000</v>
      </c>
      <c r="G19" s="7" t="n">
        <v>30000</v>
      </c>
      <c r="H19" s="7" t="n">
        <v>30000</v>
      </c>
      <c r="I19" s="7" t="n">
        <v>30000</v>
      </c>
      <c r="J19" s="7" t="n">
        <v>30000</v>
      </c>
      <c r="K19" s="7" t="n">
        <v>30000</v>
      </c>
      <c r="L19" s="7" t="n">
        <v>30000</v>
      </c>
      <c r="M19" s="7" t="n">
        <v>30000</v>
      </c>
      <c r="N19" s="7" t="n">
        <v>30000</v>
      </c>
      <c r="O19" s="7" t="n">
        <v>30000</v>
      </c>
      <c r="P19" s="7" t="n">
        <v>30000</v>
      </c>
      <c r="Q19" s="7" t="n">
        <v>30000</v>
      </c>
      <c r="R19" s="7" t="n">
        <v>30000</v>
      </c>
      <c r="S19" s="7" t="n">
        <v>30000</v>
      </c>
      <c r="T19" s="7" t="n">
        <v>30000</v>
      </c>
      <c r="U19" s="7" t="n">
        <v>30000</v>
      </c>
      <c r="V19" s="7" t="n">
        <v>30000</v>
      </c>
      <c r="W19" s="7" t="n">
        <v>30000</v>
      </c>
      <c r="X19" s="7" t="n">
        <v>30000</v>
      </c>
      <c r="Y19" s="7" t="n">
        <v>30000</v>
      </c>
    </row>
    <row r="20" customFormat="false" ht="19.5" hidden="false" customHeight="true" outlineLevel="0" collapsed="false">
      <c r="A20" s="35" t="s">
        <v>127</v>
      </c>
      <c r="B20" s="7" t="n">
        <v>25000</v>
      </c>
      <c r="C20" s="7" t="n">
        <v>25000</v>
      </c>
      <c r="D20" s="7" t="n">
        <v>25000</v>
      </c>
      <c r="E20" s="7" t="n">
        <v>25000</v>
      </c>
      <c r="F20" s="7" t="n">
        <v>25000</v>
      </c>
      <c r="G20" s="7" t="n">
        <v>25000</v>
      </c>
      <c r="H20" s="7" t="n">
        <v>25000</v>
      </c>
      <c r="I20" s="7" t="n">
        <v>25000</v>
      </c>
      <c r="J20" s="7" t="n">
        <v>25000</v>
      </c>
      <c r="K20" s="7" t="n">
        <v>25000</v>
      </c>
      <c r="L20" s="7" t="n">
        <v>25000</v>
      </c>
      <c r="M20" s="7" t="n">
        <v>25000</v>
      </c>
      <c r="N20" s="7" t="n">
        <v>25000</v>
      </c>
      <c r="O20" s="7" t="n">
        <v>25000</v>
      </c>
      <c r="P20" s="7" t="n">
        <v>25000</v>
      </c>
      <c r="Q20" s="7" t="n">
        <v>25000</v>
      </c>
      <c r="R20" s="7" t="n">
        <v>25000</v>
      </c>
      <c r="S20" s="7" t="n">
        <v>25000</v>
      </c>
      <c r="T20" s="7" t="n">
        <v>25000</v>
      </c>
      <c r="U20" s="7" t="n">
        <v>25000</v>
      </c>
      <c r="V20" s="7" t="n">
        <v>25000</v>
      </c>
      <c r="W20" s="7" t="n">
        <v>25000</v>
      </c>
      <c r="X20" s="7" t="n">
        <v>25000</v>
      </c>
      <c r="Y20" s="7" t="n">
        <v>25000</v>
      </c>
    </row>
    <row r="21" customFormat="false" ht="19.5" hidden="false" customHeight="true" outlineLevel="0" collapsed="false">
      <c r="A21" s="35" t="s">
        <v>128</v>
      </c>
      <c r="B21" s="7" t="n">
        <v>20000</v>
      </c>
      <c r="C21" s="7" t="n">
        <v>20000</v>
      </c>
      <c r="D21" s="7" t="n">
        <v>20000</v>
      </c>
      <c r="E21" s="7" t="n">
        <v>20000</v>
      </c>
      <c r="F21" s="7" t="n">
        <v>20000</v>
      </c>
      <c r="G21" s="7" t="n">
        <v>20000</v>
      </c>
      <c r="H21" s="7" t="n">
        <v>20000</v>
      </c>
      <c r="I21" s="7" t="n">
        <v>20000</v>
      </c>
      <c r="J21" s="7" t="n">
        <v>20000</v>
      </c>
      <c r="K21" s="7" t="n">
        <v>20000</v>
      </c>
      <c r="L21" s="7" t="n">
        <v>20000</v>
      </c>
      <c r="M21" s="7" t="n">
        <v>20000</v>
      </c>
      <c r="N21" s="7" t="n">
        <v>20000</v>
      </c>
      <c r="O21" s="7" t="n">
        <v>20000</v>
      </c>
      <c r="P21" s="7" t="n">
        <v>20000</v>
      </c>
      <c r="Q21" s="7" t="n">
        <v>20000</v>
      </c>
      <c r="R21" s="7" t="n">
        <v>20000</v>
      </c>
      <c r="S21" s="7" t="n">
        <v>20000</v>
      </c>
      <c r="T21" s="7" t="n">
        <v>20000</v>
      </c>
      <c r="U21" s="7" t="n">
        <v>20000</v>
      </c>
      <c r="V21" s="7" t="n">
        <v>20000</v>
      </c>
      <c r="W21" s="7" t="n">
        <v>20000</v>
      </c>
      <c r="X21" s="7" t="n">
        <v>20000</v>
      </c>
      <c r="Y21" s="7" t="n">
        <v>20000</v>
      </c>
    </row>
    <row r="22" customFormat="false" ht="19.5" hidden="false" customHeight="true" outlineLevel="0" collapsed="false">
      <c r="A22" s="35" t="s">
        <v>129</v>
      </c>
      <c r="B22" s="7" t="n">
        <v>150000</v>
      </c>
      <c r="C22" s="7" t="n">
        <v>150000</v>
      </c>
      <c r="D22" s="7" t="n">
        <v>150000</v>
      </c>
      <c r="E22" s="7" t="n">
        <v>150000</v>
      </c>
      <c r="F22" s="7" t="n">
        <v>150000</v>
      </c>
      <c r="G22" s="7" t="n">
        <v>150000</v>
      </c>
      <c r="H22" s="7" t="n">
        <v>150000</v>
      </c>
      <c r="I22" s="7" t="n">
        <v>150000</v>
      </c>
      <c r="J22" s="7" t="n">
        <v>150000</v>
      </c>
      <c r="K22" s="7" t="n">
        <v>150000</v>
      </c>
      <c r="L22" s="7" t="n">
        <v>150000</v>
      </c>
      <c r="M22" s="7" t="n">
        <v>150000</v>
      </c>
      <c r="N22" s="7" t="n">
        <v>150000</v>
      </c>
      <c r="O22" s="7" t="n">
        <v>150000</v>
      </c>
      <c r="P22" s="7" t="n">
        <v>150000</v>
      </c>
      <c r="Q22" s="7" t="n">
        <v>150000</v>
      </c>
      <c r="R22" s="7" t="n">
        <v>150000</v>
      </c>
      <c r="S22" s="7" t="n">
        <v>150000</v>
      </c>
      <c r="T22" s="7" t="n">
        <v>150000</v>
      </c>
      <c r="U22" s="7" t="n">
        <v>150000</v>
      </c>
      <c r="V22" s="7" t="n">
        <v>150000</v>
      </c>
      <c r="W22" s="7" t="n">
        <v>150000</v>
      </c>
      <c r="X22" s="7" t="n">
        <v>150000</v>
      </c>
      <c r="Y22" s="7" t="n">
        <v>150000</v>
      </c>
    </row>
    <row r="23" customFormat="false" ht="19.5" hidden="false" customHeight="true" outlineLevel="0" collapsed="false">
      <c r="A23" s="35" t="s">
        <v>130</v>
      </c>
      <c r="B23" s="7" t="n">
        <v>30000</v>
      </c>
      <c r="C23" s="7" t="n">
        <v>30000</v>
      </c>
      <c r="D23" s="7" t="n">
        <v>30000</v>
      </c>
      <c r="E23" s="7" t="n">
        <v>30000</v>
      </c>
      <c r="F23" s="7" t="n">
        <v>30000</v>
      </c>
      <c r="G23" s="7" t="n">
        <v>30000</v>
      </c>
      <c r="H23" s="7" t="n">
        <v>30000</v>
      </c>
      <c r="I23" s="7" t="n">
        <v>30000</v>
      </c>
      <c r="J23" s="7" t="n">
        <v>30000</v>
      </c>
      <c r="K23" s="7" t="n">
        <v>30000</v>
      </c>
      <c r="L23" s="7" t="n">
        <v>30000</v>
      </c>
      <c r="M23" s="7" t="n">
        <v>30000</v>
      </c>
      <c r="N23" s="7" t="n">
        <v>30000</v>
      </c>
      <c r="O23" s="7" t="n">
        <v>30000</v>
      </c>
      <c r="P23" s="7" t="n">
        <v>30000</v>
      </c>
      <c r="Q23" s="7" t="n">
        <v>30000</v>
      </c>
      <c r="R23" s="7" t="n">
        <v>30000</v>
      </c>
      <c r="S23" s="7" t="n">
        <v>30000</v>
      </c>
      <c r="T23" s="7" t="n">
        <v>30000</v>
      </c>
      <c r="U23" s="7" t="n">
        <v>30000</v>
      </c>
      <c r="V23" s="7" t="n">
        <v>30000</v>
      </c>
      <c r="W23" s="7" t="n">
        <v>30000</v>
      </c>
      <c r="X23" s="7" t="n">
        <v>30000</v>
      </c>
      <c r="Y23" s="7" t="n">
        <v>30000</v>
      </c>
    </row>
    <row r="24" customFormat="false" ht="19.5" hidden="false" customHeight="true" outlineLevel="0" collapsed="false">
      <c r="A24" s="44" t="s">
        <v>131</v>
      </c>
      <c r="B24" s="45" t="n">
        <f aca="false">B17+B18+B19+B20+B21+B22+B23</f>
        <v>535000</v>
      </c>
      <c r="C24" s="45" t="n">
        <f aca="false">C17+C18+C19+C20+C21+C22+C23</f>
        <v>605000</v>
      </c>
      <c r="D24" s="45" t="n">
        <f aca="false">D17+D18+D19+D20+D21+D22+D23</f>
        <v>725000</v>
      </c>
      <c r="E24" s="45" t="n">
        <f aca="false">E17+E18+E19+E20+E21+E22+E23</f>
        <v>845000</v>
      </c>
      <c r="F24" s="45" t="n">
        <f aca="false">F17+F18+F19+F20+F21+F22+F23</f>
        <v>965000</v>
      </c>
      <c r="G24" s="45" t="n">
        <f aca="false">G17+G18+G19+G20+G21+G22+G23</f>
        <v>1085000</v>
      </c>
      <c r="H24" s="45" t="n">
        <f aca="false">H17+H18+H19+H20+H21+H22+H23</f>
        <v>1205000</v>
      </c>
      <c r="I24" s="45" t="n">
        <f aca="false">I17+I18+I19+I20+I21+I22+I23</f>
        <v>1325000</v>
      </c>
      <c r="J24" s="45" t="n">
        <f aca="false">J17+J18+J19+J20+J21+J22+J23</f>
        <v>1445000</v>
      </c>
      <c r="K24" s="45" t="n">
        <f aca="false">K17+K18+K19+K20+K21+K22+K23</f>
        <v>1615000</v>
      </c>
      <c r="L24" s="45" t="n">
        <f aca="false">L17+L18+L19+L20+L21+L22+L23</f>
        <v>1735000</v>
      </c>
      <c r="M24" s="45" t="n">
        <f aca="false">M17+M18+M19+M20+M21+M22+M23</f>
        <v>1855000</v>
      </c>
      <c r="N24" s="45" t="n">
        <f aca="false">N17+N18+N19+N20+N21+N22+N23</f>
        <v>1975000</v>
      </c>
      <c r="O24" s="45" t="n">
        <f aca="false">O17+O18+O19+O20+O21+O22+O23</f>
        <v>2095000</v>
      </c>
      <c r="P24" s="45" t="n">
        <f aca="false">P17+P18+P19+P20+P21+P22+P23</f>
        <v>2215000</v>
      </c>
      <c r="Q24" s="45" t="n">
        <f aca="false">Q17+Q18+Q19+Q20+Q21+Q22+Q23</f>
        <v>2335000</v>
      </c>
      <c r="R24" s="45" t="n">
        <f aca="false">R17+R18+R19+R20+R21+R22+R23</f>
        <v>2455000</v>
      </c>
      <c r="S24" s="45" t="n">
        <f aca="false">S17+S18+S19+S20+S21+S22+S23</f>
        <v>2575000</v>
      </c>
      <c r="T24" s="45" t="n">
        <f aca="false">T17+T18+T19+T20+T21+T22+T23</f>
        <v>2695000</v>
      </c>
      <c r="U24" s="45" t="n">
        <f aca="false">U17+U18+U19+U20+U21+U22+U23</f>
        <v>2815000</v>
      </c>
      <c r="V24" s="45" t="n">
        <f aca="false">V17+V18+V19+V20+V21+V22+V23</f>
        <v>2935000</v>
      </c>
      <c r="W24" s="45" t="n">
        <f aca="false">W17+W18+W19+W20+W21+W22+W23</f>
        <v>3055000</v>
      </c>
      <c r="X24" s="45" t="n">
        <f aca="false">X17+X18+X19+X20+X21+X22+X23</f>
        <v>3175000</v>
      </c>
      <c r="Y24" s="45" t="n">
        <f aca="false">Y17+Y18+Y19+Y20+Y21+Y22+Y23</f>
        <v>3305000</v>
      </c>
    </row>
    <row r="25" customFormat="false" ht="19.5" hidden="false" customHeight="true" outlineLevel="0" collapsed="false">
      <c r="A25" s="33" t="s">
        <v>132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customFormat="false" ht="19.5" hidden="false" customHeight="true" outlineLevel="0" collapsed="false">
      <c r="A26" s="39" t="s">
        <v>133</v>
      </c>
      <c r="B26" s="12" t="n">
        <f aca="false">B15-B24</f>
        <v>-499360</v>
      </c>
      <c r="C26" s="12" t="n">
        <f aca="false">C15-C24</f>
        <v>-514712</v>
      </c>
      <c r="D26" s="12" t="n">
        <f aca="false">D15-D24</f>
        <v>-550364</v>
      </c>
      <c r="E26" s="12" t="n">
        <f aca="false">E15-E24</f>
        <v>-572948</v>
      </c>
      <c r="F26" s="12" t="n">
        <f aca="false">F15-F24</f>
        <v>-582464</v>
      </c>
      <c r="G26" s="12" t="n">
        <f aca="false">G15-G24</f>
        <v>-570596</v>
      </c>
      <c r="H26" s="12" t="n">
        <f aca="false">H15-H24</f>
        <v>-538532</v>
      </c>
      <c r="I26" s="12" t="n">
        <f aca="false">I15-I24</f>
        <v>-500528</v>
      </c>
      <c r="J26" s="12" t="n">
        <f aca="false">J15-J24</f>
        <v>-457772</v>
      </c>
      <c r="K26" s="12" t="n">
        <f aca="false">K15-K24</f>
        <v>-449572</v>
      </c>
      <c r="L26" s="12" t="n">
        <f aca="false">L15-L24</f>
        <v>-377116</v>
      </c>
      <c r="M26" s="12" t="n">
        <f aca="false">M15-M24</f>
        <v>-303472</v>
      </c>
      <c r="N26" s="12" t="n">
        <f aca="false">N15-N24</f>
        <v>-229828</v>
      </c>
      <c r="O26" s="12" t="n">
        <f aca="false">O15-O24</f>
        <v>-154996</v>
      </c>
      <c r="P26" s="12" t="n">
        <f aca="false">P15-P24</f>
        <v>-80164</v>
      </c>
      <c r="Q26" s="12" t="n">
        <f aca="false">Q15-Q24</f>
        <v>-5332</v>
      </c>
      <c r="R26" s="12" t="n">
        <f aca="false">R15-R24</f>
        <v>70688</v>
      </c>
      <c r="S26" s="12" t="n">
        <f aca="false">S15-S24</f>
        <v>146708</v>
      </c>
      <c r="T26" s="12" t="n">
        <f aca="false">T15-T24</f>
        <v>222728</v>
      </c>
      <c r="U26" s="12" t="n">
        <f aca="false">U15-U24</f>
        <v>298748</v>
      </c>
      <c r="V26" s="12" t="n">
        <f aca="false">V15-V24</f>
        <v>374768</v>
      </c>
      <c r="W26" s="12" t="n">
        <f aca="false">W15-W24</f>
        <v>451976</v>
      </c>
      <c r="X26" s="12" t="n">
        <f aca="false">X15-X24</f>
        <v>529184</v>
      </c>
      <c r="Y26" s="12" t="n">
        <f aca="false">Y15-Y24</f>
        <v>608272</v>
      </c>
    </row>
    <row r="27" customFormat="false" ht="19.5" hidden="false" customHeight="true" outlineLevel="0" collapsed="false">
      <c r="A27" s="35" t="s">
        <v>134</v>
      </c>
      <c r="B27" s="46" t="n">
        <f aca="false">IF(B11&gt;0,B26/B11,0)</f>
        <v>-10.0880808080808</v>
      </c>
      <c r="C27" s="46" t="n">
        <f aca="false">IF(C11&gt;0,C26/C11,0)</f>
        <v>-4.10456140350877</v>
      </c>
      <c r="D27" s="46" t="n">
        <f aca="false">IF(D11&gt;0,D26/D11,0)</f>
        <v>-2.26907441764585</v>
      </c>
      <c r="E27" s="46" t="n">
        <f aca="false">IF(E11&gt;0,E26/E11,0)</f>
        <v>-1.51633717083499</v>
      </c>
      <c r="F27" s="46" t="n">
        <f aca="false">IF(F11&gt;0,F26/F11,0)</f>
        <v>-1.0962996423866</v>
      </c>
      <c r="G27" s="46" t="n">
        <f aca="false">IF(G11&gt;0,G26/G11,0)</f>
        <v>-0.798650710336623</v>
      </c>
      <c r="H27" s="46" t="n">
        <f aca="false">IF(H11&gt;0,H26/H11,0)</f>
        <v>-0.581787932803976</v>
      </c>
      <c r="I27" s="46" t="n">
        <f aca="false">IF(I11&gt;0,I26/I11,0)</f>
        <v>-0.437104183040782</v>
      </c>
      <c r="J27" s="46" t="n">
        <f aca="false">IF(J11&gt;0,J26/J11,0)</f>
        <v>-0.333859898625242</v>
      </c>
      <c r="K27" s="46" t="n">
        <f aca="false">IF(K11&gt;0,K26/K11,0)</f>
        <v>-0.277745034442282</v>
      </c>
      <c r="L27" s="46" t="n">
        <f aca="false">IF(L11&gt;0,L26/L11,0)</f>
        <v>-0.199960762480448</v>
      </c>
      <c r="M27" s="46" t="n">
        <f aca="false">IF(M11&gt;0,M26/M11,0)</f>
        <v>-0.140828808761427</v>
      </c>
      <c r="N27" s="46" t="n">
        <f aca="false">IF(N11&gt;0,N26/N11,0)</f>
        <v>-0.0948193988901954</v>
      </c>
      <c r="O27" s="46" t="n">
        <f aca="false">IF(O11&gt;0,O26/O11,0)</f>
        <v>-0.0575241700532576</v>
      </c>
      <c r="P27" s="46" t="n">
        <f aca="false">IF(P11&gt;0,P26/P11,0)</f>
        <v>-0.0270363063017487</v>
      </c>
      <c r="Q27" s="46" t="n">
        <f aca="false">IF(Q11&gt;0,Q26/Q11,0)</f>
        <v>-0.00164789145921221</v>
      </c>
      <c r="R27" s="46" t="n">
        <f aca="false">IF(R11&gt;0,R26/R11,0)</f>
        <v>0.020151087545255</v>
      </c>
      <c r="S27" s="46" t="n">
        <f aca="false">IF(S11&gt;0,S26/S11,0)</f>
        <v>0.0388101001283018</v>
      </c>
      <c r="T27" s="46" t="n">
        <f aca="false">IF(T11&gt;0,T26/T11,0)</f>
        <v>0.0549619978284473</v>
      </c>
      <c r="U27" s="46" t="n">
        <f aca="false">IF(U11&gt;0,U26/U11,0)</f>
        <v>0.0690802723919855</v>
      </c>
      <c r="V27" s="46" t="n">
        <f aca="false">IF(V11&gt;0,V26/V11,0)</f>
        <v>0.0815262459483565</v>
      </c>
      <c r="W27" s="46" t="n">
        <f aca="false">IF(W11&gt;0,W26/W11,0)</f>
        <v>0.092792970353946</v>
      </c>
      <c r="X27" s="46" t="n">
        <f aca="false">IF(X11&gt;0,X26/X11,0)</f>
        <v>0.102860030711217</v>
      </c>
      <c r="Y27" s="46" t="n">
        <f aca="false">IF(Y11&gt;0,Y26/Y11,0)</f>
        <v>0.111915512134091</v>
      </c>
    </row>
    <row r="28" customFormat="false" ht="19.5" hidden="false" customHeight="true" outlineLevel="0" collapsed="false">
      <c r="A28" s="33" t="s">
        <v>135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customFormat="false" ht="19.5" hidden="false" customHeight="true" outlineLevel="0" collapsed="false">
      <c r="A29" s="47" t="s">
        <v>136</v>
      </c>
      <c r="B29" s="48" t="n">
        <f aca="false">IF(B6&gt;0,B18/B6,0)</f>
        <v>6666.66666666667</v>
      </c>
      <c r="C29" s="48" t="n">
        <f aca="false">IF(C6&gt;0,C18/C6,0)</f>
        <v>5000</v>
      </c>
      <c r="D29" s="48" t="n">
        <f aca="false">IF(D6&gt;0,D18/D6,0)</f>
        <v>4375</v>
      </c>
      <c r="E29" s="48" t="n">
        <f aca="false">IF(E6&gt;0,E18/E6,0)</f>
        <v>4500</v>
      </c>
      <c r="F29" s="48" t="n">
        <f aca="false">IF(F6&gt;0,F18/F6,0)</f>
        <v>4583.33333333333</v>
      </c>
      <c r="G29" s="48" t="n">
        <f aca="false">IF(G6&gt;0,G18/G6,0)</f>
        <v>4333.33333333333</v>
      </c>
      <c r="H29" s="48" t="n">
        <f aca="false">IF(H6&gt;0,H18/H6,0)</f>
        <v>4166.66666666667</v>
      </c>
      <c r="I29" s="48" t="n">
        <f aca="false">IF(I6&gt;0,I18/I6,0)</f>
        <v>4250</v>
      </c>
      <c r="J29" s="48" t="n">
        <f aca="false">IF(J6&gt;0,J18/J6,0)</f>
        <v>4318.18181818182</v>
      </c>
      <c r="K29" s="48" t="n">
        <f aca="false">IF(K6&gt;0,K18/K6,0)</f>
        <v>4400</v>
      </c>
      <c r="L29" s="48" t="n">
        <f aca="false">IF(L6&gt;0,L18/L6,0)</f>
        <v>4285.71428571429</v>
      </c>
      <c r="M29" s="48" t="n">
        <f aca="false">IF(M6&gt;0,M18/M6,0)</f>
        <v>4333.33333333333</v>
      </c>
      <c r="N29" s="48" t="n">
        <f aca="false">IF(N6&gt;0,N18/N6,0)</f>
        <v>4375</v>
      </c>
      <c r="O29" s="48" t="n">
        <f aca="false">IF(O6&gt;0,O18/O6,0)</f>
        <v>4411.76470588235</v>
      </c>
      <c r="P29" s="48" t="n">
        <f aca="false">IF(P6&gt;0,P18/P6,0)</f>
        <v>4444.44444444444</v>
      </c>
      <c r="Q29" s="48" t="n">
        <f aca="false">IF(Q6&gt;0,Q18/Q6,0)</f>
        <v>4473.68421052632</v>
      </c>
      <c r="R29" s="48" t="n">
        <f aca="false">IF(R6&gt;0,R18/R6,0)</f>
        <v>4500</v>
      </c>
      <c r="S29" s="48" t="n">
        <f aca="false">IF(S6&gt;0,S18/S6,0)</f>
        <v>4523.80952380952</v>
      </c>
      <c r="T29" s="48" t="n">
        <f aca="false">IF(T6&gt;0,T18/T6,0)</f>
        <v>4545.45454545455</v>
      </c>
      <c r="U29" s="48" t="n">
        <f aca="false">IF(U6&gt;0,U18/U6,0)</f>
        <v>4565.21739130435</v>
      </c>
      <c r="V29" s="48" t="n">
        <f aca="false">IF(V6&gt;0,V18/V6,0)</f>
        <v>4583.33333333333</v>
      </c>
      <c r="W29" s="48" t="n">
        <f aca="false">IF(W6&gt;0,W18/W6,0)</f>
        <v>4600</v>
      </c>
      <c r="X29" s="48" t="n">
        <f aca="false">IF(X6&gt;0,X18/X6,0)</f>
        <v>4615.38461538462</v>
      </c>
      <c r="Y29" s="48" t="n">
        <f aca="false">IF(Y6&gt;0,Y18/Y6,0)</f>
        <v>4545.45454545455</v>
      </c>
    </row>
    <row r="30" customFormat="false" ht="19.5" hidden="false" customHeight="true" outlineLevel="0" collapsed="false">
      <c r="A30" s="47" t="s">
        <v>137</v>
      </c>
      <c r="B30" s="48" t="n">
        <f aca="false">B10*8*B14</f>
        <v>9504</v>
      </c>
      <c r="C30" s="48" t="n">
        <f aca="false">C10*8*C14</f>
        <v>9504</v>
      </c>
      <c r="D30" s="48" t="n">
        <f aca="false">D10*8*D14</f>
        <v>9504</v>
      </c>
      <c r="E30" s="48" t="n">
        <f aca="false">E10*8*E14</f>
        <v>9504</v>
      </c>
      <c r="F30" s="48" t="n">
        <f aca="false">F10*8*F14</f>
        <v>9504</v>
      </c>
      <c r="G30" s="48" t="n">
        <f aca="false">G10*8*G14</f>
        <v>9504</v>
      </c>
      <c r="H30" s="48" t="n">
        <f aca="false">H10*8*H14</f>
        <v>9504</v>
      </c>
      <c r="I30" s="48" t="n">
        <f aca="false">I10*8*I14</f>
        <v>9504</v>
      </c>
      <c r="J30" s="48" t="n">
        <f aca="false">J10*8*J14</f>
        <v>9504</v>
      </c>
      <c r="K30" s="48" t="n">
        <f aca="false">K10*8*K14</f>
        <v>9504</v>
      </c>
      <c r="L30" s="48" t="n">
        <f aca="false">L10*8*L14</f>
        <v>9504</v>
      </c>
      <c r="M30" s="48" t="n">
        <f aca="false">M10*8*M14</f>
        <v>9504</v>
      </c>
      <c r="N30" s="48" t="n">
        <f aca="false">N10*8*N14</f>
        <v>9504</v>
      </c>
      <c r="O30" s="48" t="n">
        <f aca="false">O10*8*O14</f>
        <v>9504</v>
      </c>
      <c r="P30" s="48" t="n">
        <f aca="false">P10*8*P14</f>
        <v>9504</v>
      </c>
      <c r="Q30" s="48" t="n">
        <f aca="false">Q10*8*Q14</f>
        <v>9504</v>
      </c>
      <c r="R30" s="48" t="n">
        <f aca="false">R10*8*R14</f>
        <v>9504</v>
      </c>
      <c r="S30" s="48" t="n">
        <f aca="false">S10*8*S14</f>
        <v>9504</v>
      </c>
      <c r="T30" s="48" t="n">
        <f aca="false">T10*8*T14</f>
        <v>9504</v>
      </c>
      <c r="U30" s="48" t="n">
        <f aca="false">U10*8*U14</f>
        <v>9504</v>
      </c>
      <c r="V30" s="48" t="n">
        <f aca="false">V10*8*V14</f>
        <v>9504</v>
      </c>
      <c r="W30" s="48" t="n">
        <f aca="false">W10*8*W14</f>
        <v>9504</v>
      </c>
      <c r="X30" s="48" t="n">
        <f aca="false">X10*8*X14</f>
        <v>9504</v>
      </c>
      <c r="Y30" s="48" t="n">
        <f aca="false">Y10*8*Y14</f>
        <v>9504</v>
      </c>
    </row>
    <row r="31" customFormat="false" ht="19.5" hidden="false" customHeight="true" outlineLevel="0" collapsed="false">
      <c r="A31" s="40" t="s">
        <v>138</v>
      </c>
      <c r="B31" s="49" t="n">
        <f aca="false">IF(B29&gt;0,B30/B29,0)</f>
        <v>1.4256</v>
      </c>
      <c r="C31" s="49" t="n">
        <f aca="false">IF(C29&gt;0,C30/C29,0)</f>
        <v>1.9008</v>
      </c>
      <c r="D31" s="49" t="n">
        <f aca="false">IF(D29&gt;0,D30/D29,0)</f>
        <v>2.17234285714286</v>
      </c>
      <c r="E31" s="49" t="n">
        <f aca="false">IF(E29&gt;0,E30/E29,0)</f>
        <v>2.112</v>
      </c>
      <c r="F31" s="49" t="n">
        <f aca="false">IF(F29&gt;0,F30/F29,0)</f>
        <v>2.0736</v>
      </c>
      <c r="G31" s="49" t="n">
        <f aca="false">IF(G29&gt;0,G30/G29,0)</f>
        <v>2.19323076923077</v>
      </c>
      <c r="H31" s="49" t="n">
        <f aca="false">IF(H29&gt;0,H30/H29,0)</f>
        <v>2.28096</v>
      </c>
      <c r="I31" s="49" t="n">
        <f aca="false">IF(I29&gt;0,I30/I29,0)</f>
        <v>2.23623529411765</v>
      </c>
      <c r="J31" s="49" t="n">
        <f aca="false">IF(J29&gt;0,J30/J29,0)</f>
        <v>2.20092631578947</v>
      </c>
      <c r="K31" s="49" t="n">
        <f aca="false">IF(K29&gt;0,K30/K29,0)</f>
        <v>2.16</v>
      </c>
      <c r="L31" s="49" t="n">
        <f aca="false">IF(L29&gt;0,L30/L29,0)</f>
        <v>2.2176</v>
      </c>
      <c r="M31" s="49" t="n">
        <f aca="false">IF(M29&gt;0,M30/M29,0)</f>
        <v>2.19323076923077</v>
      </c>
      <c r="N31" s="49" t="n">
        <f aca="false">IF(N29&gt;0,N30/N29,0)</f>
        <v>2.17234285714286</v>
      </c>
      <c r="O31" s="49" t="n">
        <f aca="false">IF(O29&gt;0,O30/O29,0)</f>
        <v>2.15424</v>
      </c>
      <c r="P31" s="49" t="n">
        <f aca="false">IF(P29&gt;0,P30/P29,0)</f>
        <v>2.1384</v>
      </c>
      <c r="Q31" s="49" t="n">
        <f aca="false">IF(Q29&gt;0,Q30/Q29,0)</f>
        <v>2.12442352941177</v>
      </c>
      <c r="R31" s="49" t="n">
        <f aca="false">IF(R29&gt;0,R30/R29,0)</f>
        <v>2.112</v>
      </c>
      <c r="S31" s="49" t="n">
        <f aca="false">IF(S29&gt;0,S30/S29,0)</f>
        <v>2.10088421052632</v>
      </c>
      <c r="T31" s="49" t="n">
        <f aca="false">IF(T29&gt;0,T30/T29,0)</f>
        <v>2.09088</v>
      </c>
      <c r="U31" s="49" t="n">
        <f aca="false">IF(U29&gt;0,U30/U29,0)</f>
        <v>2.08182857142857</v>
      </c>
      <c r="V31" s="49" t="n">
        <f aca="false">IF(V29&gt;0,V30/V29,0)</f>
        <v>2.0736</v>
      </c>
      <c r="W31" s="49" t="n">
        <f aca="false">IF(W29&gt;0,W30/W29,0)</f>
        <v>2.06608695652174</v>
      </c>
      <c r="X31" s="49" t="n">
        <f aca="false">IF(X29&gt;0,X30/X29,0)</f>
        <v>2.0592</v>
      </c>
      <c r="Y31" s="49" t="n">
        <f aca="false">IF(Y29&gt;0,Y30/Y29,0)</f>
        <v>2.09088</v>
      </c>
    </row>
    <row r="32" customFormat="false" ht="19.5" hidden="false" customHeight="true" outlineLevel="0" collapsed="false">
      <c r="A32" s="35" t="s">
        <v>139</v>
      </c>
      <c r="B32" s="50" t="n">
        <f aca="false">B11</f>
        <v>49500</v>
      </c>
      <c r="C32" s="50" t="n">
        <f aca="false">B32+C11</f>
        <v>174900</v>
      </c>
      <c r="D32" s="50" t="n">
        <f aca="false">C32+D11</f>
        <v>417450</v>
      </c>
      <c r="E32" s="50" t="n">
        <f aca="false">D32+E11</f>
        <v>795300</v>
      </c>
      <c r="F32" s="50" t="n">
        <f aca="false">E32+F11</f>
        <v>1326600</v>
      </c>
      <c r="G32" s="50" t="n">
        <f aca="false">F32+G11</f>
        <v>2041050</v>
      </c>
      <c r="H32" s="50" t="n">
        <f aca="false">G32+H11</f>
        <v>2966700</v>
      </c>
      <c r="I32" s="50" t="n">
        <f aca="false">H32+I11</f>
        <v>4111800</v>
      </c>
      <c r="J32" s="50" t="n">
        <f aca="false">I32+J11</f>
        <v>5482950</v>
      </c>
      <c r="K32" s="50" t="n">
        <f aca="false">J32+K11</f>
        <v>7101600</v>
      </c>
      <c r="L32" s="50" t="n">
        <f aca="false">K32+L11</f>
        <v>8987550</v>
      </c>
      <c r="M32" s="50" t="n">
        <f aca="false">L32+M11</f>
        <v>11142450</v>
      </c>
      <c r="N32" s="50" t="n">
        <f aca="false">M32+N11</f>
        <v>13566300</v>
      </c>
      <c r="O32" s="50" t="n">
        <f aca="false">N32+O11</f>
        <v>16260750</v>
      </c>
      <c r="P32" s="50" t="n">
        <f aca="false">O32+P11</f>
        <v>19225800</v>
      </c>
      <c r="Q32" s="50" t="n">
        <f aca="false">P32+Q11</f>
        <v>22461450</v>
      </c>
      <c r="R32" s="50" t="n">
        <f aca="false">Q32+R11</f>
        <v>25969350</v>
      </c>
      <c r="S32" s="50" t="n">
        <f aca="false">R32+S11</f>
        <v>29749500</v>
      </c>
      <c r="T32" s="50" t="n">
        <f aca="false">S32+T11</f>
        <v>33801900</v>
      </c>
      <c r="U32" s="50" t="n">
        <f aca="false">T32+U11</f>
        <v>38126550</v>
      </c>
      <c r="V32" s="50" t="n">
        <f aca="false">U32+V11</f>
        <v>42723450</v>
      </c>
      <c r="W32" s="50" t="n">
        <f aca="false">V32+W11</f>
        <v>47594250</v>
      </c>
      <c r="X32" s="50" t="n">
        <f aca="false">W32+X11</f>
        <v>52738950</v>
      </c>
      <c r="Y32" s="50" t="n">
        <f aca="false">X32+Y11</f>
        <v>58174050</v>
      </c>
    </row>
    <row r="33" customFormat="false" ht="19.5" hidden="false" customHeight="true" outlineLevel="0" collapsed="false">
      <c r="A33" s="35" t="s">
        <v>140</v>
      </c>
      <c r="B33" s="50" t="n">
        <f aca="false">B26</f>
        <v>-499360</v>
      </c>
      <c r="C33" s="50" t="n">
        <f aca="false">B33+C26</f>
        <v>-1014072</v>
      </c>
      <c r="D33" s="50" t="n">
        <f aca="false">C33+D26</f>
        <v>-1564436</v>
      </c>
      <c r="E33" s="50" t="n">
        <f aca="false">D33+E26</f>
        <v>-2137384</v>
      </c>
      <c r="F33" s="50" t="n">
        <f aca="false">E33+F26</f>
        <v>-2719848</v>
      </c>
      <c r="G33" s="50" t="n">
        <f aca="false">F33+G26</f>
        <v>-3290444</v>
      </c>
      <c r="H33" s="50" t="n">
        <f aca="false">G33+H26</f>
        <v>-3828976</v>
      </c>
      <c r="I33" s="50" t="n">
        <f aca="false">H33+I26</f>
        <v>-4329504</v>
      </c>
      <c r="J33" s="50" t="n">
        <f aca="false">I33+J26</f>
        <v>-4787276</v>
      </c>
      <c r="K33" s="50" t="n">
        <f aca="false">J33+K26</f>
        <v>-5236848</v>
      </c>
      <c r="L33" s="50" t="n">
        <f aca="false">K33+L26</f>
        <v>-5613964</v>
      </c>
      <c r="M33" s="50" t="n">
        <f aca="false">L33+M26</f>
        <v>-5917436</v>
      </c>
      <c r="N33" s="50" t="n">
        <f aca="false">M33+N26</f>
        <v>-6147264</v>
      </c>
      <c r="O33" s="50" t="n">
        <f aca="false">N33+O26</f>
        <v>-6302260</v>
      </c>
      <c r="P33" s="50" t="n">
        <f aca="false">O33+P26</f>
        <v>-6382424</v>
      </c>
      <c r="Q33" s="50" t="n">
        <f aca="false">P33+Q26</f>
        <v>-6387756</v>
      </c>
      <c r="R33" s="50" t="n">
        <f aca="false">Q33+R26</f>
        <v>-6317068</v>
      </c>
      <c r="S33" s="50" t="n">
        <f aca="false">R33+S26</f>
        <v>-6170360</v>
      </c>
      <c r="T33" s="50" t="n">
        <f aca="false">S33+T26</f>
        <v>-5947632</v>
      </c>
      <c r="U33" s="50" t="n">
        <f aca="false">T33+U26</f>
        <v>-5648884</v>
      </c>
      <c r="V33" s="50" t="n">
        <f aca="false">U33+V26</f>
        <v>-5274116</v>
      </c>
      <c r="W33" s="50" t="n">
        <f aca="false">V33+W26</f>
        <v>-4822140</v>
      </c>
      <c r="X33" s="50" t="n">
        <f aca="false">W33+X26</f>
        <v>-4292956</v>
      </c>
      <c r="Y33" s="50" t="n">
        <f aca="false">X33+Y26</f>
        <v>-3684684</v>
      </c>
    </row>
  </sheetData>
  <mergeCells count="27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51" t="s">
        <v>141</v>
      </c>
      <c r="B1" s="51"/>
      <c r="C1" s="51"/>
    </row>
    <row r="2" customFormat="false" ht="21.75" hidden="false" customHeight="true" outlineLevel="0" collapsed="false">
      <c r="A2" s="52" t="s">
        <v>142</v>
      </c>
      <c r="B2" s="52"/>
      <c r="C2" s="52"/>
    </row>
    <row r="3" customFormat="false" ht="21.75" hidden="false" customHeight="true" outlineLevel="0" collapsed="false">
      <c r="A3" s="47" t="s">
        <v>143</v>
      </c>
      <c r="B3" s="53" t="s">
        <v>144</v>
      </c>
      <c r="C3" s="54" t="s">
        <v>145</v>
      </c>
    </row>
    <row r="4" customFormat="false" ht="21.75" hidden="false" customHeight="true" outlineLevel="0" collapsed="false">
      <c r="A4" s="35" t="s">
        <v>146</v>
      </c>
      <c r="B4" s="55" t="s">
        <v>147</v>
      </c>
      <c r="C4" s="56" t="s">
        <v>148</v>
      </c>
    </row>
    <row r="5" customFormat="false" ht="21.75" hidden="false" customHeight="true" outlineLevel="0" collapsed="false">
      <c r="A5" s="47" t="s">
        <v>149</v>
      </c>
      <c r="B5" s="53" t="s">
        <v>150</v>
      </c>
      <c r="C5" s="54" t="s">
        <v>151</v>
      </c>
    </row>
    <row r="6" customFormat="false" ht="21.75" hidden="false" customHeight="true" outlineLevel="0" collapsed="false">
      <c r="A6" s="35" t="s">
        <v>152</v>
      </c>
      <c r="B6" s="55" t="s">
        <v>153</v>
      </c>
      <c r="C6" s="56" t="s">
        <v>154</v>
      </c>
    </row>
    <row r="7" customFormat="false" ht="21.75" hidden="false" customHeight="true" outlineLevel="0" collapsed="false">
      <c r="A7" s="52" t="s">
        <v>155</v>
      </c>
      <c r="B7" s="52"/>
      <c r="C7" s="52"/>
    </row>
    <row r="8" customFormat="false" ht="21.75" hidden="false" customHeight="true" outlineLevel="0" collapsed="false">
      <c r="A8" s="35" t="s">
        <v>156</v>
      </c>
      <c r="B8" s="55" t="s">
        <v>157</v>
      </c>
      <c r="C8" s="56" t="s">
        <v>158</v>
      </c>
    </row>
    <row r="9" customFormat="false" ht="21.75" hidden="false" customHeight="true" outlineLevel="0" collapsed="false">
      <c r="A9" s="47" t="s">
        <v>121</v>
      </c>
      <c r="B9" s="53" t="s">
        <v>159</v>
      </c>
      <c r="C9" s="54" t="s">
        <v>160</v>
      </c>
    </row>
    <row r="10" customFormat="false" ht="21.75" hidden="false" customHeight="true" outlineLevel="0" collapsed="false">
      <c r="A10" s="35" t="s">
        <v>114</v>
      </c>
      <c r="B10" s="55" t="s">
        <v>161</v>
      </c>
      <c r="C10" s="56" t="s">
        <v>162</v>
      </c>
    </row>
    <row r="11" customFormat="false" ht="21.75" hidden="false" customHeight="true" outlineLevel="0" collapsed="false">
      <c r="A11" s="47" t="s">
        <v>163</v>
      </c>
      <c r="B11" s="53" t="s">
        <v>164</v>
      </c>
      <c r="C11" s="54" t="s">
        <v>165</v>
      </c>
    </row>
    <row r="12" customFormat="false" ht="21.75" hidden="false" customHeight="true" outlineLevel="0" collapsed="false">
      <c r="A12" s="35" t="s">
        <v>166</v>
      </c>
      <c r="B12" s="55" t="s">
        <v>167</v>
      </c>
      <c r="C12" s="56" t="s">
        <v>168</v>
      </c>
    </row>
    <row r="13" customFormat="false" ht="21.75" hidden="false" customHeight="true" outlineLevel="0" collapsed="false">
      <c r="A13" s="47" t="s">
        <v>169</v>
      </c>
      <c r="B13" s="53" t="s">
        <v>170</v>
      </c>
      <c r="C13" s="54" t="s">
        <v>171</v>
      </c>
    </row>
    <row r="14" customFormat="false" ht="21.75" hidden="false" customHeight="true" outlineLevel="0" collapsed="false">
      <c r="A14" s="35" t="s">
        <v>172</v>
      </c>
      <c r="B14" s="55" t="s">
        <v>173</v>
      </c>
      <c r="C14" s="56" t="s">
        <v>174</v>
      </c>
    </row>
    <row r="15" customFormat="false" ht="21.75" hidden="false" customHeight="true" outlineLevel="0" collapsed="false">
      <c r="A15" s="52" t="s">
        <v>175</v>
      </c>
      <c r="B15" s="52"/>
      <c r="C15" s="52"/>
    </row>
    <row r="16" customFormat="false" ht="21.75" hidden="false" customHeight="true" outlineLevel="0" collapsed="false">
      <c r="A16" s="35" t="s">
        <v>176</v>
      </c>
      <c r="B16" s="55" t="s">
        <v>177</v>
      </c>
      <c r="C16" s="56" t="s">
        <v>178</v>
      </c>
    </row>
    <row r="17" customFormat="false" ht="21.75" hidden="false" customHeight="true" outlineLevel="0" collapsed="false">
      <c r="A17" s="47" t="s">
        <v>179</v>
      </c>
      <c r="B17" s="53" t="s">
        <v>180</v>
      </c>
      <c r="C17" s="54" t="s">
        <v>181</v>
      </c>
    </row>
    <row r="18" customFormat="false" ht="21.75" hidden="false" customHeight="true" outlineLevel="0" collapsed="false">
      <c r="A18" s="35" t="s">
        <v>182</v>
      </c>
      <c r="B18" s="55" t="s">
        <v>183</v>
      </c>
      <c r="C18" s="56" t="s">
        <v>184</v>
      </c>
    </row>
    <row r="19" customFormat="false" ht="21.75" hidden="false" customHeight="true" outlineLevel="0" collapsed="false">
      <c r="A19" s="47" t="s">
        <v>185</v>
      </c>
      <c r="B19" s="53" t="s">
        <v>186</v>
      </c>
      <c r="C19" s="54" t="s">
        <v>187</v>
      </c>
    </row>
    <row r="20" customFormat="false" ht="21.75" hidden="false" customHeight="true" outlineLevel="0" collapsed="false">
      <c r="A20" s="35" t="s">
        <v>188</v>
      </c>
      <c r="B20" s="55" t="s">
        <v>189</v>
      </c>
      <c r="C20" s="56" t="s">
        <v>190</v>
      </c>
    </row>
    <row r="21" customFormat="false" ht="21.75" hidden="false" customHeight="true" outlineLevel="0" collapsed="false">
      <c r="A21" s="47" t="s">
        <v>191</v>
      </c>
      <c r="B21" s="53" t="s">
        <v>192</v>
      </c>
      <c r="C21" s="54" t="s">
        <v>193</v>
      </c>
    </row>
    <row r="22" customFormat="false" ht="21.75" hidden="false" customHeight="true" outlineLevel="0" collapsed="false">
      <c r="A22" s="52" t="s">
        <v>194</v>
      </c>
      <c r="B22" s="52"/>
      <c r="C22" s="52"/>
    </row>
    <row r="23" customFormat="false" ht="21.75" hidden="false" customHeight="true" outlineLevel="0" collapsed="false">
      <c r="A23" s="47" t="s">
        <v>195</v>
      </c>
      <c r="B23" s="53" t="s">
        <v>196</v>
      </c>
      <c r="C23" s="54" t="s">
        <v>197</v>
      </c>
    </row>
    <row r="24" customFormat="false" ht="21.75" hidden="false" customHeight="true" outlineLevel="0" collapsed="false">
      <c r="A24" s="35" t="s">
        <v>198</v>
      </c>
      <c r="B24" s="55" t="s">
        <v>199</v>
      </c>
      <c r="C24" s="56" t="s">
        <v>200</v>
      </c>
    </row>
    <row r="25" customFormat="false" ht="21.75" hidden="false" customHeight="true" outlineLevel="0" collapsed="false">
      <c r="A25" s="47" t="s">
        <v>201</v>
      </c>
      <c r="B25" s="53" t="s">
        <v>202</v>
      </c>
      <c r="C25" s="54" t="s">
        <v>203</v>
      </c>
    </row>
    <row r="26" customFormat="false" ht="21.75" hidden="false" customHeight="true" outlineLevel="0" collapsed="false">
      <c r="A26" s="35" t="s">
        <v>204</v>
      </c>
      <c r="B26" s="55" t="s">
        <v>205</v>
      </c>
      <c r="C26" s="56" t="s">
        <v>206</v>
      </c>
    </row>
    <row r="27" customFormat="false" ht="21.75" hidden="false" customHeight="true" outlineLevel="0" collapsed="false">
      <c r="A27" s="47" t="s">
        <v>207</v>
      </c>
      <c r="B27" s="53" t="s">
        <v>208</v>
      </c>
      <c r="C27" s="54" t="s">
        <v>209</v>
      </c>
    </row>
    <row r="28" customFormat="false" ht="21.75" hidden="false" customHeight="true" outlineLevel="0" collapsed="false">
      <c r="A28" s="52" t="s">
        <v>210</v>
      </c>
      <c r="B28" s="52"/>
      <c r="C28" s="52"/>
    </row>
    <row r="29" customFormat="false" ht="21.75" hidden="false" customHeight="true" outlineLevel="0" collapsed="false">
      <c r="A29" s="47" t="s">
        <v>211</v>
      </c>
      <c r="B29" s="53" t="s">
        <v>212</v>
      </c>
      <c r="C29" s="54" t="s">
        <v>213</v>
      </c>
    </row>
    <row r="30" customFormat="false" ht="21.75" hidden="false" customHeight="true" outlineLevel="0" collapsed="false">
      <c r="A30" s="35" t="s">
        <v>214</v>
      </c>
      <c r="B30" s="55" t="s">
        <v>215</v>
      </c>
      <c r="C30" s="56" t="s">
        <v>216</v>
      </c>
    </row>
    <row r="31" customFormat="false" ht="21.75" hidden="false" customHeight="true" outlineLevel="0" collapsed="false">
      <c r="A31" s="47" t="s">
        <v>217</v>
      </c>
      <c r="B31" s="53" t="s">
        <v>218</v>
      </c>
      <c r="C31" s="54" t="s">
        <v>219</v>
      </c>
    </row>
    <row r="32" customFormat="false" ht="21.75" hidden="false" customHeight="true" outlineLevel="0" collapsed="false">
      <c r="A32" s="35" t="s">
        <v>220</v>
      </c>
      <c r="B32" s="55" t="s">
        <v>221</v>
      </c>
      <c r="C32" s="56" t="s">
        <v>222</v>
      </c>
    </row>
    <row r="33" customFormat="false" ht="21.75" hidden="false" customHeight="true" outlineLevel="0" collapsed="false">
      <c r="A33" s="47" t="s">
        <v>223</v>
      </c>
      <c r="B33" s="53" t="s">
        <v>224</v>
      </c>
      <c r="C33" s="54" t="s">
        <v>225</v>
      </c>
    </row>
    <row r="34" customFormat="false" ht="21.75" hidden="false" customHeight="true" outlineLevel="0" collapsed="false">
      <c r="A34" s="35" t="s">
        <v>226</v>
      </c>
      <c r="B34" s="55" t="s">
        <v>227</v>
      </c>
      <c r="C34" s="56" t="s">
        <v>228</v>
      </c>
    </row>
    <row r="35" customFormat="false" ht="21.75" hidden="false" customHeight="true" outlineLevel="0" collapsed="false">
      <c r="A35" s="52" t="s">
        <v>229</v>
      </c>
      <c r="B35" s="52"/>
      <c r="C35" s="52"/>
    </row>
    <row r="36" customFormat="false" ht="21.75" hidden="false" customHeight="true" outlineLevel="0" collapsed="false">
      <c r="A36" s="35" t="s">
        <v>230</v>
      </c>
      <c r="B36" s="55" t="s">
        <v>231</v>
      </c>
      <c r="C36" s="56" t="s">
        <v>232</v>
      </c>
    </row>
    <row r="37" customFormat="false" ht="21.75" hidden="false" customHeight="true" outlineLevel="0" collapsed="false">
      <c r="A37" s="47" t="s">
        <v>233</v>
      </c>
      <c r="B37" s="53" t="s">
        <v>234</v>
      </c>
      <c r="C37" s="54" t="s">
        <v>235</v>
      </c>
    </row>
    <row r="38" customFormat="false" ht="21.75" hidden="false" customHeight="true" outlineLevel="0" collapsed="false">
      <c r="A38" s="35" t="s">
        <v>236</v>
      </c>
      <c r="B38" s="55" t="s">
        <v>237</v>
      </c>
      <c r="C38" s="56" t="s">
        <v>238</v>
      </c>
    </row>
    <row r="39" customFormat="false" ht="21.75" hidden="false" customHeight="true" outlineLevel="0" collapsed="false">
      <c r="A39" s="47" t="s">
        <v>239</v>
      </c>
      <c r="B39" s="53" t="s">
        <v>240</v>
      </c>
      <c r="C39" s="54" t="s">
        <v>241</v>
      </c>
    </row>
    <row r="40" customFormat="false" ht="21.75" hidden="false" customHeight="true" outlineLevel="0" collapsed="false">
      <c r="A40" s="35" t="s">
        <v>242</v>
      </c>
      <c r="B40" s="55" t="s">
        <v>243</v>
      </c>
      <c r="C40" s="56" t="s">
        <v>244</v>
      </c>
    </row>
    <row r="41" customFormat="false" ht="21.75" hidden="false" customHeight="true" outlineLevel="0" collapsed="false">
      <c r="A41" s="52" t="s">
        <v>245</v>
      </c>
      <c r="B41" s="52"/>
      <c r="C41" s="52"/>
    </row>
    <row r="42" customFormat="false" ht="21.75" hidden="false" customHeight="true" outlineLevel="0" collapsed="false">
      <c r="A42" s="35" t="s">
        <v>246</v>
      </c>
      <c r="B42" s="55" t="s">
        <v>247</v>
      </c>
      <c r="C42" s="56" t="s">
        <v>248</v>
      </c>
    </row>
    <row r="43" customFormat="false" ht="21.75" hidden="false" customHeight="true" outlineLevel="0" collapsed="false">
      <c r="A43" s="47" t="s">
        <v>188</v>
      </c>
      <c r="B43" s="53" t="s">
        <v>249</v>
      </c>
      <c r="C43" s="54" t="s">
        <v>250</v>
      </c>
    </row>
    <row r="44" customFormat="false" ht="21.75" hidden="false" customHeight="true" outlineLevel="0" collapsed="false">
      <c r="A44" s="35" t="s">
        <v>251</v>
      </c>
      <c r="B44" s="55" t="s">
        <v>252</v>
      </c>
      <c r="C44" s="56" t="s">
        <v>253</v>
      </c>
    </row>
    <row r="45" customFormat="false" ht="21.75" hidden="false" customHeight="true" outlineLevel="0" collapsed="false">
      <c r="A45" s="47" t="s">
        <v>254</v>
      </c>
      <c r="B45" s="53" t="s">
        <v>255</v>
      </c>
      <c r="C45" s="54" t="s">
        <v>256</v>
      </c>
    </row>
    <row r="46" customFormat="false" ht="21.75" hidden="false" customHeight="true" outlineLevel="0" collapsed="false">
      <c r="A46" s="35" t="s">
        <v>257</v>
      </c>
      <c r="B46" s="55" t="s">
        <v>252</v>
      </c>
      <c r="C46" s="56" t="s">
        <v>258</v>
      </c>
    </row>
    <row r="47" customFormat="false" ht="21.75" hidden="false" customHeight="true" outlineLevel="0" collapsed="false">
      <c r="A47" s="47" t="s">
        <v>259</v>
      </c>
      <c r="B47" s="53" t="s">
        <v>260</v>
      </c>
      <c r="C47" s="54" t="s">
        <v>261</v>
      </c>
    </row>
    <row r="48" customFormat="false" ht="21.75" hidden="false" customHeight="true" outlineLevel="0" collapsed="false">
      <c r="A48" s="35" t="s">
        <v>262</v>
      </c>
      <c r="B48" s="55" t="s">
        <v>263</v>
      </c>
      <c r="C48" s="56" t="s">
        <v>264</v>
      </c>
    </row>
    <row r="49" customFormat="false" ht="21.75" hidden="false" customHeight="true" outlineLevel="0" collapsed="false">
      <c r="A49" s="47" t="s">
        <v>265</v>
      </c>
      <c r="B49" s="53" t="s">
        <v>252</v>
      </c>
      <c r="C49" s="54" t="s">
        <v>266</v>
      </c>
    </row>
    <row r="50" customFormat="false" ht="21.75" hidden="false" customHeight="true" outlineLevel="0" collapsed="false">
      <c r="A50" s="35" t="s">
        <v>267</v>
      </c>
      <c r="B50" s="55" t="s">
        <v>268</v>
      </c>
      <c r="C50" s="56" t="s">
        <v>269</v>
      </c>
    </row>
  </sheetData>
  <mergeCells count="8">
    <mergeCell ref="A1:C1"/>
    <mergeCell ref="A2:C2"/>
    <mergeCell ref="A7:C7"/>
    <mergeCell ref="A15:C15"/>
    <mergeCell ref="A22:C22"/>
    <mergeCell ref="A28:C28"/>
    <mergeCell ref="A35:C35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2026-04-03T17:02:33Z</dcterms:created>
  <dc:creator>openpyxl</dc:creator>
  <dc:description/>
  <dc:language>en-US</dc:language>
  <cp:lastModifiedBy/>
  <dcterms:modified xsi:type="dcterms:W3CDTF">2026-04-03T17:02:33Z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